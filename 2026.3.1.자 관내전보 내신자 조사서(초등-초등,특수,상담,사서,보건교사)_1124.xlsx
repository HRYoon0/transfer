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학년도 업무\01. 인사\1. 관내 전보(황재웅)\01-3. 학교 전달 프로그램(완성본)\"/>
    </mc:Choice>
  </mc:AlternateContent>
  <xr:revisionPtr revIDLastSave="0" documentId="13_ncr:1_{229C9934-EFE8-4E1B-9F67-4EB1BA1E125A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내신조사서" sheetId="1" r:id="rId1"/>
    <sheet name="작성 방법" sheetId="4" r:id="rId2"/>
  </sheets>
  <definedNames>
    <definedName name="_xlnm.Print_Area" localSheetId="0">내신조사서!$B$3:$Q$38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/>
  <c r="J4" i="1" l="1"/>
  <c r="P18" i="1" l="1"/>
  <c r="P33" i="1"/>
  <c r="S13" i="1"/>
  <c r="S14" i="1"/>
  <c r="S15" i="1"/>
  <c r="S16" i="1"/>
  <c r="S12" i="1"/>
  <c r="U13" i="1"/>
  <c r="U14" i="1"/>
  <c r="U15" i="1"/>
  <c r="U16" i="1"/>
  <c r="T13" i="1"/>
  <c r="T14" i="1"/>
  <c r="T15" i="1"/>
  <c r="T16" i="1"/>
  <c r="Y16" i="1" l="1"/>
  <c r="Y14" i="1"/>
  <c r="Y15" i="1"/>
  <c r="Y13" i="1"/>
  <c r="V14" i="1"/>
  <c r="W14" i="1"/>
  <c r="X14" i="1"/>
  <c r="V15" i="1"/>
  <c r="W15" i="1"/>
  <c r="X15" i="1"/>
  <c r="V13" i="1"/>
  <c r="W13" i="1"/>
  <c r="X13" i="1"/>
  <c r="V16" i="1"/>
  <c r="W16" i="1"/>
  <c r="X16" i="1"/>
  <c r="U12" i="1" l="1"/>
  <c r="Y12" i="1" s="1"/>
  <c r="T12" i="1"/>
  <c r="V12" i="1" l="1"/>
  <c r="X12" i="1"/>
  <c r="W12" i="1"/>
  <c r="T5" i="1" l="1"/>
  <c r="Q12" i="1" l="1"/>
  <c r="P6" i="1" s="1"/>
  <c r="D9" i="1" l="1"/>
  <c r="K10" i="1"/>
</calcChain>
</file>

<file path=xl/sharedStrings.xml><?xml version="1.0" encoding="utf-8"?>
<sst xmlns="http://schemas.openxmlformats.org/spreadsheetml/2006/main" count="345" uniqueCount="278">
  <si>
    <t>전보구분</t>
    <phoneticPr fontId="5" type="noConversion"/>
  </si>
  <si>
    <t>1희망</t>
    <phoneticPr fontId="5" type="noConversion"/>
  </si>
  <si>
    <t>2희망</t>
    <phoneticPr fontId="5" type="noConversion"/>
  </si>
  <si>
    <t>3희망</t>
    <phoneticPr fontId="5" type="noConversion"/>
  </si>
  <si>
    <t>통합 1희망</t>
    <phoneticPr fontId="5" type="noConversion"/>
  </si>
  <si>
    <t>통합 2희망</t>
    <phoneticPr fontId="2" type="noConversion"/>
  </si>
  <si>
    <t>통합 3희망</t>
    <phoneticPr fontId="2" type="noConversion"/>
  </si>
  <si>
    <t>성명</t>
    <phoneticPr fontId="2" type="noConversion"/>
  </si>
  <si>
    <t>성별</t>
    <phoneticPr fontId="5" type="noConversion"/>
  </si>
  <si>
    <t>생활근거지</t>
    <phoneticPr fontId="5" type="noConversion"/>
  </si>
  <si>
    <t>소지자격</t>
    <phoneticPr fontId="5" type="noConversion"/>
  </si>
  <si>
    <t>타시군내신</t>
    <phoneticPr fontId="2" type="noConversion"/>
  </si>
  <si>
    <t>타시도내신</t>
    <phoneticPr fontId="2" type="noConversion"/>
  </si>
  <si>
    <t>승진후보자</t>
    <phoneticPr fontId="2" type="noConversion"/>
  </si>
  <si>
    <t>총점</t>
    <phoneticPr fontId="5" type="noConversion"/>
  </si>
  <si>
    <t>동점자서열</t>
    <phoneticPr fontId="5" type="noConversion"/>
  </si>
  <si>
    <t>현임교근무연수</t>
    <phoneticPr fontId="5" type="noConversion"/>
  </si>
  <si>
    <t>학교경력점</t>
    <phoneticPr fontId="5" type="noConversion"/>
  </si>
  <si>
    <t>생년월일</t>
    <phoneticPr fontId="5" type="noConversion"/>
  </si>
  <si>
    <t>비고</t>
    <phoneticPr fontId="5" type="noConversion"/>
  </si>
  <si>
    <t>경력사항</t>
    <phoneticPr fontId="5" type="noConversion"/>
  </si>
  <si>
    <t>구         분</t>
  </si>
  <si>
    <t>학교명</t>
    <phoneticPr fontId="5" type="noConversion"/>
  </si>
  <si>
    <t>근무기간</t>
  </si>
  <si>
    <t>급지(점수)</t>
    <phoneticPr fontId="5" type="noConversion"/>
  </si>
  <si>
    <t>근무연수</t>
    <phoneticPr fontId="5" type="noConversion"/>
  </si>
  <si>
    <t>점수</t>
    <phoneticPr fontId="5" type="noConversion"/>
  </si>
  <si>
    <t>소계</t>
    <phoneticPr fontId="5" type="noConversion"/>
  </si>
  <si>
    <t>기본(4년)</t>
    <phoneticPr fontId="5" type="noConversion"/>
  </si>
  <si>
    <t>가
산
점</t>
    <phoneticPr fontId="5" type="noConversion"/>
  </si>
  <si>
    <t>종별</t>
  </si>
  <si>
    <t>내   용</t>
  </si>
  <si>
    <t>기간. 연월일</t>
    <phoneticPr fontId="5" type="noConversion"/>
  </si>
  <si>
    <t>점수</t>
  </si>
  <si>
    <t>학교 확인</t>
    <phoneticPr fontId="5" type="noConversion"/>
  </si>
  <si>
    <t>본인</t>
    <phoneticPr fontId="2" type="noConversion"/>
  </si>
  <si>
    <t>교감</t>
    <phoneticPr fontId="2" type="noConversion"/>
  </si>
  <si>
    <t>교장</t>
    <phoneticPr fontId="2" type="noConversion"/>
  </si>
  <si>
    <t>추가 입력 항목</t>
    <phoneticPr fontId="2" type="noConversion"/>
  </si>
  <si>
    <t>승진 희망 지역</t>
    <phoneticPr fontId="2" type="noConversion"/>
  </si>
  <si>
    <t>과원 전보 내신자 희망</t>
    <phoneticPr fontId="2" type="noConversion"/>
  </si>
  <si>
    <t>전보우선 사유</t>
    <phoneticPr fontId="2" type="noConversion"/>
  </si>
  <si>
    <t>전보유예 사유</t>
    <phoneticPr fontId="2" type="noConversion"/>
  </si>
  <si>
    <t>부부 교직원 성명</t>
    <phoneticPr fontId="2" type="noConversion"/>
  </si>
  <si>
    <t>부부 교직원 소속</t>
    <phoneticPr fontId="2" type="noConversion"/>
  </si>
  <si>
    <t>직계존비속 교직원1 성명</t>
    <phoneticPr fontId="2" type="noConversion"/>
  </si>
  <si>
    <t>직계존비속 교직원1 소속</t>
    <phoneticPr fontId="2" type="noConversion"/>
  </si>
  <si>
    <t>직계존비속 교직원2 성명</t>
    <phoneticPr fontId="2" type="noConversion"/>
  </si>
  <si>
    <t>전보구분</t>
    <phoneticPr fontId="2" type="noConversion"/>
  </si>
  <si>
    <t>현임교</t>
    <phoneticPr fontId="2" type="noConversion"/>
  </si>
  <si>
    <t>성별</t>
    <phoneticPr fontId="2" type="noConversion"/>
  </si>
  <si>
    <t>만기사유</t>
  </si>
  <si>
    <t>전보우선 사유</t>
  </si>
  <si>
    <t>학교만기</t>
  </si>
  <si>
    <t>급지만기</t>
  </si>
  <si>
    <t>벽지</t>
  </si>
  <si>
    <t>기타</t>
  </si>
  <si>
    <t>※ 내신조사서 시트를 아래 내신조사서 작성방법을 참고하여 작성합니다.</t>
    <phoneticPr fontId="2" type="noConversion"/>
  </si>
  <si>
    <t>순</t>
    <phoneticPr fontId="2" type="noConversion"/>
  </si>
  <si>
    <t>항목</t>
    <phoneticPr fontId="2" type="noConversion"/>
  </si>
  <si>
    <t>작성방법</t>
    <phoneticPr fontId="2" type="noConversion"/>
  </si>
  <si>
    <t>기관장</t>
    <phoneticPr fontId="2" type="noConversion"/>
  </si>
  <si>
    <t>희망, 만기, 우선 등</t>
    <phoneticPr fontId="2" type="noConversion"/>
  </si>
  <si>
    <t>학교만기, 급지만기</t>
    <phoneticPr fontId="2" type="noConversion"/>
  </si>
  <si>
    <t>1희망</t>
    <phoneticPr fontId="2" type="noConversion"/>
  </si>
  <si>
    <t>2희망</t>
    <phoneticPr fontId="2" type="noConversion"/>
  </si>
  <si>
    <t>3희망</t>
    <phoneticPr fontId="2" type="noConversion"/>
  </si>
  <si>
    <t>빈칸 없이 이름을 입력한다.</t>
    <phoneticPr fontId="2" type="noConversion"/>
  </si>
  <si>
    <t>홍길동, 김용, 남궁빈</t>
    <phoneticPr fontId="2" type="noConversion"/>
  </si>
  <si>
    <t>홍 길동, 김 용, 남궁 빈</t>
    <phoneticPr fontId="2" type="noConversion"/>
  </si>
  <si>
    <t>남, 여 중에 선택한다.</t>
    <phoneticPr fontId="2" type="noConversion"/>
  </si>
  <si>
    <t>남, 여</t>
    <phoneticPr fontId="2" type="noConversion"/>
  </si>
  <si>
    <t>남자, 여자</t>
    <phoneticPr fontId="2" type="noConversion"/>
  </si>
  <si>
    <t>창원, 마산, 진주, 통영 등</t>
    <phoneticPr fontId="2" type="noConversion"/>
  </si>
  <si>
    <t>창원시, 창원교육청, 창원교육지원청, 아니오 등</t>
    <phoneticPr fontId="2" type="noConversion"/>
  </si>
  <si>
    <t>서울, 부산, 경기, 경북 등</t>
    <phoneticPr fontId="2" type="noConversion"/>
  </si>
  <si>
    <t>서울시, 부산광역시, 경기도, 경상북도, 아니오 등</t>
    <phoneticPr fontId="2" type="noConversion"/>
  </si>
  <si>
    <t>예, 아니오</t>
    <phoneticPr fontId="2" type="noConversion"/>
  </si>
  <si>
    <t>총점</t>
    <phoneticPr fontId="2" type="noConversion"/>
  </si>
  <si>
    <t>4.00, 4.06, 5.00 등</t>
    <phoneticPr fontId="2" type="noConversion"/>
  </si>
  <si>
    <t>3.5, 4.6 등</t>
    <phoneticPr fontId="2" type="noConversion"/>
  </si>
  <si>
    <t>비고</t>
  </si>
  <si>
    <t>4.00, 2.03, 1.09 등</t>
    <phoneticPr fontId="2" type="noConversion"/>
  </si>
  <si>
    <t>2.3, 2년3월 등</t>
    <phoneticPr fontId="2" type="noConversion"/>
  </si>
  <si>
    <t>표창, 근무실적, 연구실적, 우우조건</t>
    <phoneticPr fontId="2" type="noConversion"/>
  </si>
  <si>
    <t>&lt;추가 입력 항목&gt;
전보우선 사유</t>
    <phoneticPr fontId="2" type="noConversion"/>
  </si>
  <si>
    <t>전보 우선 대상자인 경우만 전보우선 사유를 선택한다.</t>
    <phoneticPr fontId="2" type="noConversion"/>
  </si>
  <si>
    <t>&lt;추가 입력 항목&gt;
전보유예 사유</t>
    <phoneticPr fontId="2" type="noConversion"/>
  </si>
  <si>
    <t>전보 유예 대상자인 경우만 전보유예 사유를 선택한다.</t>
    <phoneticPr fontId="2" type="noConversion"/>
  </si>
  <si>
    <t>&lt;추가 입력 항목&gt;
부부 교직원 성명</t>
    <phoneticPr fontId="2" type="noConversion"/>
  </si>
  <si>
    <t>배우자의 이름을 빈칸 없이 입력한다.</t>
    <phoneticPr fontId="2" type="noConversion"/>
  </si>
  <si>
    <t>홍길동, 김용, 남궁빈</t>
  </si>
  <si>
    <t>홍 길동, 김 용, 남궁 빈</t>
  </si>
  <si>
    <t>&lt;추가 입력 항목&gt;
부부 교직원 소속</t>
    <phoneticPr fontId="2" type="noConversion"/>
  </si>
  <si>
    <t>&lt;추가 입력 항목&gt;
직계존비속 교직원1 성명</t>
    <phoneticPr fontId="2" type="noConversion"/>
  </si>
  <si>
    <t>직계존비속 교직원의 이름을 빈칸 없이 입력한다.</t>
    <phoneticPr fontId="2" type="noConversion"/>
  </si>
  <si>
    <t>&lt;추가 입력 항목&gt;
직계존비속 교직원1  소속</t>
    <phoneticPr fontId="2" type="noConversion"/>
  </si>
  <si>
    <t>&lt;추가 입력 항목&gt;
직계존비속 교직원2 성명</t>
    <phoneticPr fontId="2" type="noConversion"/>
  </si>
  <si>
    <t>&lt;추가 입력 항목&gt;
직계존비속 교직원2  소속</t>
    <phoneticPr fontId="2" type="noConversion"/>
  </si>
  <si>
    <t>전보구분</t>
  </si>
  <si>
    <t>실습교</t>
  </si>
  <si>
    <t>통합희망학교</t>
  </si>
  <si>
    <t>희망학교</t>
  </si>
  <si>
    <t>현임교</t>
  </si>
  <si>
    <t>성별</t>
  </si>
  <si>
    <t>여부</t>
  </si>
  <si>
    <t>전보유예 사유</t>
  </si>
  <si>
    <t>과원 전보 희망</t>
  </si>
  <si>
    <t>희망</t>
  </si>
  <si>
    <t>이천</t>
  </si>
  <si>
    <t>가남</t>
  </si>
  <si>
    <t>남</t>
  </si>
  <si>
    <t>예</t>
  </si>
  <si>
    <t>교육시책 추진상 학교장의 요청</t>
  </si>
  <si>
    <t>연구학교 연구주무 교사</t>
  </si>
  <si>
    <t>표창</t>
  </si>
  <si>
    <t>과원이 해소될 경우, 희망학교 전보희망</t>
  </si>
  <si>
    <t>만기</t>
  </si>
  <si>
    <t>원동</t>
  </si>
  <si>
    <t>가양</t>
  </si>
  <si>
    <t>여</t>
  </si>
  <si>
    <t>아니오</t>
  </si>
  <si>
    <t>정원 변경</t>
  </si>
  <si>
    <t>1년 이내 정년 퇴임</t>
  </si>
  <si>
    <t>근무실적</t>
  </si>
  <si>
    <t>과원이 해소될 경우, 현임교 계속근무희망</t>
  </si>
  <si>
    <t>우선</t>
  </si>
  <si>
    <t>좌삼</t>
  </si>
  <si>
    <t>가촌</t>
  </si>
  <si>
    <t>특수교육지원센터에서 3년 이상 근무</t>
  </si>
  <si>
    <t>특수학급 담당교사</t>
  </si>
  <si>
    <t>연구실적</t>
  </si>
  <si>
    <t>초빙</t>
  </si>
  <si>
    <t>금오</t>
  </si>
  <si>
    <t>특수영역 우수교사</t>
  </si>
  <si>
    <t>우우조건</t>
  </si>
  <si>
    <t>비정기</t>
  </si>
  <si>
    <t>대운</t>
  </si>
  <si>
    <t>전국소년체육대회 금메달 획득 지도교사</t>
  </si>
  <si>
    <t>전입가산점</t>
  </si>
  <si>
    <t>덕계</t>
  </si>
  <si>
    <t>행복(나눔)학교 핵심교사</t>
  </si>
  <si>
    <t>동면</t>
  </si>
  <si>
    <t>동산</t>
  </si>
  <si>
    <t>다자녀 교원 중 미취학 아동이 있는 교사</t>
  </si>
  <si>
    <t>물금</t>
  </si>
  <si>
    <t>백동</t>
  </si>
  <si>
    <t>범어</t>
  </si>
  <si>
    <t>북정</t>
  </si>
  <si>
    <t>삼성</t>
  </si>
  <si>
    <t>삽량</t>
  </si>
  <si>
    <t>상북</t>
  </si>
  <si>
    <t>서남</t>
  </si>
  <si>
    <t>서창</t>
  </si>
  <si>
    <t>석산</t>
  </si>
  <si>
    <t>성산</t>
  </si>
  <si>
    <t>소토</t>
  </si>
  <si>
    <t>신기</t>
  </si>
  <si>
    <t>신명</t>
  </si>
  <si>
    <t>신양</t>
  </si>
  <si>
    <t>신주</t>
  </si>
  <si>
    <t>양산</t>
  </si>
  <si>
    <t>양주</t>
  </si>
  <si>
    <t>어곡</t>
  </si>
  <si>
    <t>영천</t>
  </si>
  <si>
    <t>오봉</t>
  </si>
  <si>
    <t>용연</t>
  </si>
  <si>
    <t>웅상</t>
  </si>
  <si>
    <t>중부</t>
  </si>
  <si>
    <t>증산</t>
  </si>
  <si>
    <t>천성</t>
  </si>
  <si>
    <t>평산</t>
  </si>
  <si>
    <t>하북</t>
  </si>
  <si>
    <t>화제</t>
  </si>
  <si>
    <t>황산</t>
  </si>
  <si>
    <t>회야</t>
  </si>
  <si>
    <t>양산교육지원청</t>
  </si>
  <si>
    <t>실습교
보정 총점</t>
    <phoneticPr fontId="2" type="noConversion"/>
  </si>
  <si>
    <t>1~3.수업 실적</t>
    <phoneticPr fontId="2" type="noConversion"/>
  </si>
  <si>
    <t>4. 연구 실적</t>
    <phoneticPr fontId="2" type="noConversion"/>
  </si>
  <si>
    <t>5. 미래교육 실적</t>
    <phoneticPr fontId="2" type="noConversion"/>
  </si>
  <si>
    <t>6. 교육력 제고 실적</t>
    <phoneticPr fontId="2" type="noConversion"/>
  </si>
  <si>
    <t>학교의 정식 기관장명은 현임교를 선택하면 자동으로 입력된다.</t>
    <phoneticPr fontId="2" type="noConversion"/>
  </si>
  <si>
    <t>희망, 만기, 우선, 초빙, 비정기 중에 하나를 선택한다.
전보 우선 대상자이면서 만기자인 경우 '우선'을 선택한다. 과원일 경우 '만기'를 선택한다.</t>
    <phoneticPr fontId="2" type="noConversion"/>
  </si>
  <si>
    <t>수기 입력 금함</t>
    <phoneticPr fontId="2" type="noConversion"/>
  </si>
  <si>
    <t>양산, 양주 등</t>
    <phoneticPr fontId="2" type="noConversion"/>
  </si>
  <si>
    <t>생활근거지</t>
    <phoneticPr fontId="2" type="noConversion"/>
  </si>
  <si>
    <t>통합 1희망</t>
    <phoneticPr fontId="2" type="noConversion"/>
  </si>
  <si>
    <t>이천</t>
    <phoneticPr fontId="2" type="noConversion"/>
  </si>
  <si>
    <t>이천, 원동, 좌삼</t>
    <phoneticPr fontId="2" type="noConversion"/>
  </si>
  <si>
    <t>이천, 좌삼, 원동</t>
    <phoneticPr fontId="2" type="noConversion"/>
  </si>
  <si>
    <t>현재 근무하고 있는 학교를 선택한다.</t>
    <phoneticPr fontId="2" type="noConversion"/>
  </si>
  <si>
    <t>양산초, 양주초 등</t>
    <phoneticPr fontId="2" type="noConversion"/>
  </si>
  <si>
    <t>소지자격</t>
    <phoneticPr fontId="2" type="noConversion"/>
  </si>
  <si>
    <t>둘 중 하나는 무조건 선택</t>
    <phoneticPr fontId="2" type="noConversion"/>
  </si>
  <si>
    <t>현임교근무연수</t>
    <phoneticPr fontId="2" type="noConversion"/>
  </si>
  <si>
    <t>학교경력점</t>
    <phoneticPr fontId="2" type="noConversion"/>
  </si>
  <si>
    <t>생년월일</t>
    <phoneticPr fontId="2" type="noConversion"/>
  </si>
  <si>
    <t>과원1, 과원2, 별도정원, 
전보유예, 명예퇴직 등</t>
    <phoneticPr fontId="2" type="noConversion"/>
  </si>
  <si>
    <t>경력사항 학교명</t>
    <phoneticPr fontId="2" type="noConversion"/>
  </si>
  <si>
    <t>경력사항 근무기간</t>
    <phoneticPr fontId="2" type="noConversion"/>
  </si>
  <si>
    <t>가(6), 나(7), 다(8), 라(9)
가(7.5), 나(8), 다(8.5), 라(9)</t>
    <phoneticPr fontId="2" type="noConversion"/>
  </si>
  <si>
    <t>가(7.5점), 나8점, 다8.5 등</t>
    <phoneticPr fontId="2" type="noConversion"/>
  </si>
  <si>
    <t>해당급지의 점수 및 경력점 조견표를 참고하여 해당 점수를 입력한다.</t>
    <phoneticPr fontId="2" type="noConversion"/>
  </si>
  <si>
    <t>&lt;추가 입력 항목&gt;
과원전보내신자사유</t>
    <phoneticPr fontId="2" type="noConversion"/>
  </si>
  <si>
    <t>정원 변경</t>
    <phoneticPr fontId="2" type="noConversion"/>
  </si>
  <si>
    <t>연구학교 연구주무 교사, 1년 이내 정년 퇴임, 행복학교 주무 교사 등</t>
    <phoneticPr fontId="2" type="noConversion"/>
  </si>
  <si>
    <t>배우자가 근무하는 학교명을 초등학교를 제외하고 입력한다.</t>
    <phoneticPr fontId="2" type="noConversion"/>
  </si>
  <si>
    <t>석산, 신주 등</t>
    <phoneticPr fontId="2" type="noConversion"/>
  </si>
  <si>
    <t>신주초, 석산초등학교 등</t>
    <phoneticPr fontId="2" type="noConversion"/>
  </si>
  <si>
    <t>직계존비속 교직원이 근무하는 학교명을 초등학교를 제외하고 입력한다.</t>
    <phoneticPr fontId="2" type="noConversion"/>
  </si>
  <si>
    <t>직계존비속 교직원이 근무하는 학교명을 초등학교를 제외하고 입력한다.</t>
  </si>
  <si>
    <t>석산, 신주 등</t>
  </si>
  <si>
    <t>신주초, 석산초등학교 등</t>
  </si>
  <si>
    <t>실습교 보정총점</t>
    <phoneticPr fontId="2" type="noConversion"/>
  </si>
  <si>
    <t>교육실습 협력학교 가산점</t>
    <phoneticPr fontId="2" type="noConversion"/>
  </si>
  <si>
    <t>교육
실습
협력
학교
가산점</t>
    <phoneticPr fontId="2" type="noConversion"/>
  </si>
  <si>
    <r>
      <t xml:space="preserve">양산, 양주, </t>
    </r>
    <r>
      <rPr>
        <b/>
        <sz val="11"/>
        <color rgb="FFFF0000"/>
        <rFont val="맑은 고딕"/>
        <family val="3"/>
        <charset val="129"/>
        <scheme val="minor"/>
      </rPr>
      <t>통합</t>
    </r>
    <r>
      <rPr>
        <b/>
        <sz val="11"/>
        <color theme="1"/>
        <rFont val="맑은 고딕"/>
        <family val="3"/>
        <charset val="129"/>
        <scheme val="minor"/>
      </rPr>
      <t xml:space="preserve"> 등</t>
    </r>
    <phoneticPr fontId="2" type="noConversion"/>
  </si>
  <si>
    <r>
      <t xml:space="preserve">타시군내신을 낸 경우 지역명 2자로 입력한다.
타시군내신을 안낸 경우 </t>
    </r>
    <r>
      <rPr>
        <b/>
        <sz val="11"/>
        <color rgb="FFFF0000"/>
        <rFont val="맑은 고딕"/>
        <family val="3"/>
        <charset val="129"/>
        <scheme val="minor"/>
      </rPr>
      <t>빈칸</t>
    </r>
    <r>
      <rPr>
        <sz val="11"/>
        <color theme="1"/>
        <rFont val="맑은 고딕"/>
        <family val="2"/>
        <charset val="129"/>
        <scheme val="minor"/>
      </rPr>
      <t>으로 둔다.</t>
    </r>
    <phoneticPr fontId="2" type="noConversion"/>
  </si>
  <si>
    <r>
      <t xml:space="preserve">타시도내신을 낸 경우 지역명 2자로 입력한다.
타시도내신을 안낸 경우 </t>
    </r>
    <r>
      <rPr>
        <b/>
        <sz val="11"/>
        <color rgb="FFFF0000"/>
        <rFont val="맑은 고딕"/>
        <family val="3"/>
        <charset val="129"/>
        <scheme val="minor"/>
      </rPr>
      <t>빈칸</t>
    </r>
    <r>
      <rPr>
        <sz val="11"/>
        <color theme="1"/>
        <rFont val="맑은 고딕"/>
        <family val="2"/>
        <charset val="129"/>
        <scheme val="minor"/>
      </rPr>
      <t>으로 둔다.</t>
    </r>
    <phoneticPr fontId="2" type="noConversion"/>
  </si>
  <si>
    <r>
      <t xml:space="preserve">예, 아니오 중 </t>
    </r>
    <r>
      <rPr>
        <b/>
        <sz val="11"/>
        <color rgb="FFFF0000"/>
        <rFont val="맑은 고딕"/>
        <family val="3"/>
        <charset val="129"/>
        <scheme val="minor"/>
      </rPr>
      <t>무조건</t>
    </r>
    <r>
      <rPr>
        <sz val="11"/>
        <color theme="1"/>
        <rFont val="맑은 고딕"/>
        <family val="2"/>
        <charset val="129"/>
        <scheme val="minor"/>
      </rPr>
      <t xml:space="preserve"> 선택한다.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</si>
  <si>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y.mm</t>
    </r>
    <r>
      <rPr>
        <sz val="11"/>
        <color theme="1"/>
        <rFont val="맑은 고딕"/>
        <family val="2"/>
        <charset val="129"/>
        <scheme val="minor"/>
      </rPr>
      <t xml:space="preserve">형식으로 년 1자리, 월 2자리 소수점으로 구분하여 입력한다.
</t>
    </r>
    <r>
      <rPr>
        <b/>
        <sz val="11"/>
        <color rgb="FF0000FF"/>
        <rFont val="맑은 고딕"/>
        <family val="3"/>
        <charset val="129"/>
        <scheme val="minor"/>
      </rPr>
      <t>☞ 휴직이나 파견기간은 제외</t>
    </r>
    <phoneticPr fontId="2" type="noConversion"/>
  </si>
  <si>
    <r>
      <t>해당 근무기간을</t>
    </r>
    <r>
      <rPr>
        <b/>
        <sz val="11"/>
        <color rgb="FFFF0000"/>
        <rFont val="맑은 고딕"/>
        <family val="3"/>
        <charset val="129"/>
        <scheme val="minor"/>
      </rPr>
      <t xml:space="preserve"> y.mm</t>
    </r>
    <r>
      <rPr>
        <sz val="11"/>
        <color theme="1"/>
        <rFont val="맑은 고딕"/>
        <family val="2"/>
        <charset val="129"/>
        <scheme val="minor"/>
      </rPr>
      <t>형식으로 년 1자리, 월 2자리 소수점으로 구분하여 입력한다.</t>
    </r>
    <phoneticPr fontId="2" type="noConversion"/>
  </si>
  <si>
    <t>실습교 보정총점: 경력점 + 현임교 가산점</t>
    <phoneticPr fontId="2" type="noConversion"/>
  </si>
  <si>
    <t>현임교</t>
    <phoneticPr fontId="5" type="noConversion"/>
  </si>
  <si>
    <t>전보 내신자 조사서(초등 교사)</t>
  </si>
  <si>
    <t>내신조사서 제목</t>
    <phoneticPr fontId="2" type="noConversion"/>
  </si>
  <si>
    <t>금송</t>
  </si>
  <si>
    <t>사송</t>
  </si>
  <si>
    <t>통합</t>
    <phoneticPr fontId="2" type="noConversion"/>
  </si>
  <si>
    <r>
      <t xml:space="preserve">실습교 보정총점은 </t>
    </r>
    <r>
      <rPr>
        <b/>
        <sz val="11"/>
        <color rgb="FFFF0000"/>
        <rFont val="맑은 고딕"/>
        <family val="3"/>
        <charset val="129"/>
        <scheme val="minor"/>
      </rPr>
      <t>교육실습</t>
    </r>
    <r>
      <rPr>
        <b/>
        <sz val="11"/>
        <color rgb="FFFF0000"/>
        <rFont val="맑은 고딕"/>
        <family val="2"/>
        <charset val="129"/>
        <scheme val="minor"/>
      </rPr>
      <t xml:space="preserve"> 협력학</t>
    </r>
    <r>
      <rPr>
        <b/>
        <sz val="11"/>
        <color rgb="FFFF0000"/>
        <rFont val="맑은 고딕"/>
        <family val="3"/>
        <charset val="129"/>
        <scheme val="minor"/>
      </rPr>
      <t>교</t>
    </r>
    <r>
      <rPr>
        <sz val="11"/>
        <rFont val="맑은 고딕"/>
        <family val="3"/>
        <charset val="129"/>
        <scheme val="minor"/>
      </rPr>
      <t xml:space="preserve">에 전입을 희망하는 </t>
    </r>
    <r>
      <rPr>
        <b/>
        <sz val="11"/>
        <color rgb="FF0000FF"/>
        <rFont val="맑은 고딕"/>
        <family val="3"/>
        <charset val="129"/>
        <scheme val="minor"/>
      </rPr>
      <t>현임교 만기 교원</t>
    </r>
    <r>
      <rPr>
        <b/>
        <sz val="11"/>
        <color rgb="FFFF0000"/>
        <rFont val="맑은 고딕"/>
        <family val="3"/>
        <charset val="129"/>
        <scheme val="minor"/>
      </rPr>
      <t>만</t>
    </r>
    <r>
      <rPr>
        <b/>
        <sz val="11"/>
        <color rgb="FF0000FF"/>
        <rFont val="맑은 고딕"/>
        <family val="3"/>
        <charset val="129"/>
        <scheme val="minor"/>
      </rPr>
      <t xml:space="preserve"> 자동 계산</t>
    </r>
    <r>
      <rPr>
        <sz val="11"/>
        <color theme="1"/>
        <rFont val="맑은 고딕"/>
        <family val="2"/>
        <charset val="129"/>
        <scheme val="minor"/>
      </rPr>
      <t>한다.</t>
    </r>
    <r>
      <rPr>
        <b/>
        <sz val="11"/>
        <color rgb="FFFF0000"/>
        <rFont val="맑은 고딕"/>
        <family val="3"/>
        <charset val="129"/>
        <scheme val="minor"/>
      </rPr>
      <t/>
    </r>
    <phoneticPr fontId="2" type="noConversion"/>
  </si>
  <si>
    <r>
      <t xml:space="preserve">소지자격을 입력한다. </t>
    </r>
    <r>
      <rPr>
        <b/>
        <sz val="11"/>
        <color rgb="FF0000FF"/>
        <rFont val="맑은 고딕"/>
        <family val="3"/>
        <charset val="129"/>
        <scheme val="minor"/>
      </rPr>
      <t>비교과 교사</t>
    </r>
    <r>
      <rPr>
        <sz val="11"/>
        <rFont val="맑은 고딕"/>
        <family val="3"/>
        <charset val="129"/>
        <scheme val="minor"/>
      </rPr>
      <t xml:space="preserve">의 경우 </t>
    </r>
    <r>
      <rPr>
        <b/>
        <sz val="11"/>
        <color rgb="FFFF0000"/>
        <rFont val="맑은 고딕"/>
        <family val="3"/>
        <charset val="129"/>
        <scheme val="minor"/>
      </rPr>
      <t>해당 자격</t>
    </r>
    <r>
      <rPr>
        <sz val="11"/>
        <rFont val="맑은 고딕"/>
        <family val="3"/>
        <charset val="129"/>
        <scheme val="minor"/>
      </rPr>
      <t>을 선택한다.</t>
    </r>
    <phoneticPr fontId="2" type="noConversion"/>
  </si>
  <si>
    <t>양산, 양주, 통영죽림, 거창거창, 부산온천 등</t>
    <phoneticPr fontId="2" type="noConversion"/>
  </si>
  <si>
    <t>양산초, 양산초등학교, 양산 중부 등</t>
    <phoneticPr fontId="2" type="noConversion"/>
  </si>
  <si>
    <t>근무실적 3번, 5번, 1번, 7번 등
근무실적 3. 5. 1. 7. 등</t>
    <phoneticPr fontId="2" type="noConversion"/>
  </si>
  <si>
    <r>
      <t xml:space="preserve">표창, 근무실적, 연구실적, 우우조건 중 하나를 선택한다.
</t>
    </r>
    <r>
      <rPr>
        <sz val="11"/>
        <rFont val="맑은 고딕"/>
        <family val="3"/>
        <charset val="129"/>
        <scheme val="minor"/>
      </rPr>
      <t xml:space="preserve">가산점 자료는 각 종별로 </t>
    </r>
    <r>
      <rPr>
        <b/>
        <sz val="11"/>
        <color rgb="FFFF0000"/>
        <rFont val="맑은 고딕"/>
        <family val="3"/>
        <charset val="129"/>
        <scheme val="minor"/>
      </rPr>
      <t>표창, 근무실적, 연구실적, 우우조건 순</t>
    </r>
    <r>
      <rPr>
        <sz val="11"/>
        <rFont val="맑은 고딕"/>
        <family val="3"/>
        <charset val="129"/>
        <scheme val="minor"/>
      </rPr>
      <t xml:space="preserve">으로 입력한다. </t>
    </r>
    <r>
      <rPr>
        <b/>
        <sz val="11"/>
        <color rgb="FF0000FF"/>
        <rFont val="맑은 고딕"/>
        <family val="3"/>
        <charset val="129"/>
        <scheme val="minor"/>
      </rPr>
      <t>(가산점 평정표 순)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</si>
  <si>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근무실적 1. 8. 10. 등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1. 도교육청지정 이상 연구학교, 8. 통합학급담임교사, 10. 부장교사 등 순으로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0000FF"/>
        <rFont val="맑은 고딕"/>
        <family val="3"/>
        <charset val="129"/>
        <scheme val="minor"/>
      </rPr>
      <t>우우조건 2. 7. 등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2. 부모봉양, 7. 자녀가 2명인 교사 등 순으로</t>
    </r>
    <phoneticPr fontId="2" type="noConversion"/>
  </si>
  <si>
    <r>
      <t xml:space="preserve">전보시 주요참고 사항만 기재한다. </t>
    </r>
    <r>
      <rPr>
        <sz val="11"/>
        <rFont val="맑은 고딕"/>
        <family val="3"/>
        <charset val="129"/>
        <scheme val="minor"/>
      </rPr>
      <t xml:space="preserve">과원의 경우 </t>
    </r>
    <r>
      <rPr>
        <b/>
        <sz val="11"/>
        <color rgb="FFFF0000"/>
        <rFont val="맑은 고딕"/>
        <family val="3"/>
        <charset val="129"/>
        <scheme val="minor"/>
      </rPr>
      <t>과원의 순서</t>
    </r>
    <r>
      <rPr>
        <sz val="11"/>
        <rFont val="맑은 고딕"/>
        <family val="3"/>
        <charset val="129"/>
        <scheme val="minor"/>
      </rPr>
      <t xml:space="preserve">를 입력한다.
</t>
    </r>
    <r>
      <rPr>
        <b/>
        <sz val="11"/>
        <color rgb="FF0000FF"/>
        <rFont val="맑은 고딕"/>
        <family val="3"/>
        <charset val="129"/>
        <scheme val="minor"/>
      </rPr>
      <t>별도정원, 전보유예, 명예퇴직 등</t>
    </r>
    <r>
      <rPr>
        <sz val="11"/>
        <rFont val="맑은 고딕"/>
        <family val="3"/>
        <charset val="129"/>
        <scheme val="minor"/>
      </rPr>
      <t xml:space="preserve"> 자료도 입력한다.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</si>
  <si>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과원내신자</t>
    </r>
    <r>
      <rPr>
        <sz val="11"/>
        <color theme="1"/>
        <rFont val="맑은 고딕"/>
        <family val="2"/>
        <charset val="129"/>
        <scheme val="minor"/>
      </rPr>
      <t xml:space="preserve">인 경우 </t>
    </r>
    <r>
      <rPr>
        <b/>
        <sz val="11"/>
        <color rgb="FF0000FF"/>
        <rFont val="맑은 고딕"/>
        <family val="3"/>
        <charset val="129"/>
        <scheme val="minor"/>
      </rPr>
      <t>반드시 '</t>
    </r>
    <r>
      <rPr>
        <b/>
        <sz val="11"/>
        <color rgb="FFFF0000"/>
        <rFont val="맑은 고딕"/>
        <family val="3"/>
        <charset val="129"/>
        <scheme val="minor"/>
      </rPr>
      <t>전보희망</t>
    </r>
    <r>
      <rPr>
        <b/>
        <sz val="11"/>
        <color rgb="FF0000FF"/>
        <rFont val="맑은 고딕"/>
        <family val="3"/>
        <charset val="129"/>
        <scheme val="minor"/>
      </rPr>
      <t>' 또는 '</t>
    </r>
    <r>
      <rPr>
        <b/>
        <sz val="11"/>
        <color rgb="FFFF0000"/>
        <rFont val="맑은 고딕"/>
        <family val="3"/>
        <charset val="129"/>
        <scheme val="minor"/>
      </rPr>
      <t>계속근무희망</t>
    </r>
    <r>
      <rPr>
        <b/>
        <sz val="11"/>
        <color rgb="FF0000FF"/>
        <rFont val="맑은 고딕"/>
        <family val="3"/>
        <charset val="129"/>
        <scheme val="minor"/>
      </rPr>
      <t>' 을 선택</t>
    </r>
    <r>
      <rPr>
        <sz val="11"/>
        <color theme="1"/>
        <rFont val="맑은 고딕"/>
        <family val="2"/>
        <charset val="129"/>
        <scheme val="minor"/>
      </rPr>
      <t>해야 한다.</t>
    </r>
    <phoneticPr fontId="2" type="noConversion"/>
  </si>
  <si>
    <r>
      <t xml:space="preserve">급지와 해당급지의 점수를 입력한다.
</t>
    </r>
    <r>
      <rPr>
        <b/>
        <sz val="11"/>
        <color rgb="FF0000FF"/>
        <rFont val="맑은 고딕"/>
        <family val="3"/>
        <charset val="129"/>
        <scheme val="minor"/>
      </rPr>
      <t>☞</t>
    </r>
    <r>
      <rPr>
        <b/>
        <sz val="11"/>
        <color rgb="FF0000FF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2018.3.1</t>
    </r>
    <r>
      <rPr>
        <b/>
        <sz val="11"/>
        <color rgb="FF0000FF"/>
        <rFont val="맑은 고딕"/>
        <family val="3"/>
        <charset val="129"/>
        <scheme val="minor"/>
      </rPr>
      <t xml:space="preserve"> 이전과 이후</t>
    </r>
    <r>
      <rPr>
        <b/>
        <sz val="11"/>
        <rFont val="맑은 고딕"/>
        <family val="3"/>
        <charset val="129"/>
        <scheme val="minor"/>
      </rPr>
      <t>의 급지 점수 구분</t>
    </r>
    <phoneticPr fontId="2" type="noConversion"/>
  </si>
  <si>
    <t>36.00,  29.33 등</t>
    <phoneticPr fontId="2" type="noConversion"/>
  </si>
  <si>
    <t>근무실적, 우우조건, 표창, 연구실적 순 등</t>
    <phoneticPr fontId="2" type="noConversion"/>
  </si>
  <si>
    <r>
      <t xml:space="preserve">인사관리기준의 가산점 평정표를 참조하여 종별로 </t>
    </r>
    <r>
      <rPr>
        <b/>
        <sz val="11"/>
        <color rgb="FF0000FF"/>
        <rFont val="맑은 고딕"/>
        <family val="3"/>
        <charset val="129"/>
        <scheme val="minor"/>
      </rPr>
      <t>최근 4년이내</t>
    </r>
    <r>
      <rPr>
        <b/>
        <sz val="11"/>
        <color rgb="FFFF0000"/>
        <rFont val="맑은 고딕"/>
        <family val="3"/>
        <charset val="129"/>
        <scheme val="minor"/>
      </rPr>
      <t xml:space="preserve"> 현임교</t>
    </r>
    <r>
      <rPr>
        <sz val="11"/>
        <rFont val="맑은 고딕"/>
        <family val="3"/>
        <charset val="129"/>
        <scheme val="minor"/>
      </rPr>
      <t xml:space="preserve">에서 </t>
    </r>
    <r>
      <rPr>
        <b/>
        <sz val="11"/>
        <rFont val="맑은 고딕"/>
        <family val="3"/>
        <charset val="129"/>
        <scheme val="minor"/>
      </rPr>
      <t>거양한 실적</t>
    </r>
    <r>
      <rPr>
        <sz val="11"/>
        <rFont val="맑은 고딕"/>
        <family val="3"/>
        <charset val="129"/>
        <scheme val="minor"/>
      </rPr>
      <t xml:space="preserve">을 입력한다.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rgb="FF0000FF"/>
        <rFont val="맑은 고딕"/>
        <family val="3"/>
        <charset val="129"/>
        <scheme val="minor"/>
      </rPr>
      <t>같은 종별</t>
    </r>
    <r>
      <rPr>
        <sz val="11"/>
        <color theme="1"/>
        <rFont val="맑은 고딕"/>
        <family val="3"/>
        <charset val="129"/>
        <scheme val="minor"/>
      </rPr>
      <t xml:space="preserve">내에서는 </t>
    </r>
    <r>
      <rPr>
        <b/>
        <sz val="11"/>
        <color rgb="FFFF0000"/>
        <rFont val="맑은 고딕"/>
        <family val="3"/>
        <charset val="129"/>
        <scheme val="minor"/>
      </rPr>
      <t>번호순서</t>
    </r>
    <r>
      <rPr>
        <sz val="11"/>
        <color theme="1"/>
        <rFont val="맑은 고딕"/>
        <family val="3"/>
        <charset val="129"/>
        <scheme val="minor"/>
      </rPr>
      <t xml:space="preserve">대로 입력, </t>
    </r>
    <r>
      <rPr>
        <b/>
        <sz val="11"/>
        <color rgb="FF0000FF"/>
        <rFont val="맑은 고딕"/>
        <family val="3"/>
        <charset val="129"/>
        <scheme val="minor"/>
      </rPr>
      <t>같은 내용</t>
    </r>
    <r>
      <rPr>
        <sz val="11"/>
        <color theme="1"/>
        <rFont val="맑은 고딕"/>
        <family val="3"/>
        <charset val="129"/>
        <scheme val="minor"/>
      </rPr>
      <t xml:space="preserve">은 </t>
    </r>
    <r>
      <rPr>
        <b/>
        <sz val="11"/>
        <color rgb="FFFF0000"/>
        <rFont val="맑은 고딕"/>
        <family val="3"/>
        <charset val="129"/>
        <scheme val="minor"/>
      </rPr>
      <t>최근실적</t>
    </r>
    <r>
      <rPr>
        <sz val="11"/>
        <color theme="1"/>
        <rFont val="맑은 고딕"/>
        <family val="3"/>
        <charset val="129"/>
        <scheme val="minor"/>
      </rPr>
      <t xml:space="preserve">부터 입력 </t>
    </r>
    <r>
      <rPr>
        <b/>
        <sz val="11"/>
        <color rgb="FF0000FF"/>
        <rFont val="맑은 고딕"/>
        <family val="3"/>
        <charset val="129"/>
        <scheme val="minor"/>
      </rPr>
      <t>(가산점 평정표 순)</t>
    </r>
    <phoneticPr fontId="2" type="noConversion"/>
  </si>
  <si>
    <r>
      <t>행정구역상</t>
    </r>
    <r>
      <rPr>
        <sz val="11"/>
        <color theme="1"/>
        <rFont val="맑은 고딕"/>
        <family val="3"/>
        <charset val="129"/>
        <scheme val="minor"/>
      </rPr>
      <t>(</t>
    </r>
    <r>
      <rPr>
        <b/>
        <sz val="11"/>
        <color rgb="FFFF0000"/>
        <rFont val="맑은 고딕"/>
        <family val="3"/>
        <charset val="129"/>
        <scheme val="minor"/>
      </rPr>
      <t>행정동</t>
    </r>
    <r>
      <rPr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시, 동(읍,면)</t>
    </r>
    <r>
      <rPr>
        <sz val="11"/>
        <color theme="1"/>
        <rFont val="맑은 고딕"/>
        <family val="2"/>
        <charset val="129"/>
        <scheme val="minor"/>
      </rPr>
      <t xml:space="preserve">을 표기하되, </t>
    </r>
    <r>
      <rPr>
        <sz val="11"/>
        <rFont val="맑은 고딕"/>
        <family val="3"/>
        <charset val="129"/>
        <scheme val="minor"/>
      </rPr>
      <t xml:space="preserve">시, 동(읍,면) </t>
    </r>
    <r>
      <rPr>
        <b/>
        <sz val="11"/>
        <rFont val="맑은 고딕"/>
        <family val="3"/>
        <charset val="129"/>
        <scheme val="minor"/>
      </rPr>
      <t>글자</t>
    </r>
    <r>
      <rPr>
        <sz val="11"/>
        <color theme="1"/>
        <rFont val="맑은 고딕"/>
        <family val="2"/>
        <charset val="129"/>
        <scheme val="minor"/>
      </rPr>
      <t>는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제외</t>
    </r>
    <r>
      <rPr>
        <sz val="11"/>
        <color theme="1"/>
        <rFont val="맑은 고딕"/>
        <family val="2"/>
        <charset val="129"/>
        <scheme val="minor"/>
      </rPr>
      <t xml:space="preserve">한다. 시, 동(읍,면)이 </t>
    </r>
    <r>
      <rPr>
        <b/>
        <sz val="11"/>
        <color rgb="FFFF0000"/>
        <rFont val="맑은 고딕"/>
        <family val="3"/>
        <charset val="129"/>
        <scheme val="minor"/>
      </rPr>
      <t>외자</t>
    </r>
    <r>
      <rPr>
        <sz val="11"/>
        <rFont val="맑은 고딕"/>
        <family val="3"/>
        <charset val="129"/>
        <scheme val="minor"/>
      </rPr>
      <t xml:space="preserve">일 경우, </t>
    </r>
    <r>
      <rPr>
        <b/>
        <sz val="11"/>
        <color rgb="FF0000FF"/>
        <rFont val="맑은 고딕"/>
        <family val="3"/>
        <charset val="129"/>
        <scheme val="minor"/>
      </rPr>
      <t>동(면)을 붙여서</t>
    </r>
    <r>
      <rPr>
        <sz val="11"/>
        <color theme="1"/>
        <rFont val="맑은 고딕"/>
        <family val="2"/>
        <charset val="129"/>
        <scheme val="minor"/>
      </rPr>
      <t xml:space="preserve"> 입력한다.
</t>
    </r>
    <r>
      <rPr>
        <b/>
        <sz val="10"/>
        <color theme="1"/>
        <rFont val="맑은 고딕"/>
        <family val="3"/>
        <charset val="129"/>
      </rPr>
      <t xml:space="preserve">※ 양산시 </t>
    </r>
    <r>
      <rPr>
        <b/>
        <sz val="10"/>
        <color rgb="FF0000FF"/>
        <rFont val="맑은 고딕"/>
        <family val="3"/>
        <charset val="129"/>
      </rPr>
      <t>행정동(7개)</t>
    </r>
    <r>
      <rPr>
        <b/>
        <sz val="10"/>
        <color theme="1"/>
        <rFont val="맑은 고딕"/>
        <family val="3"/>
        <charset val="129"/>
      </rPr>
      <t xml:space="preserve"> </t>
    </r>
    <r>
      <rPr>
        <b/>
        <sz val="10"/>
        <color rgb="FFFF0000"/>
        <rFont val="맑은 고딕"/>
        <family val="3"/>
        <charset val="129"/>
      </rPr>
      <t>O</t>
    </r>
    <r>
      <rPr>
        <b/>
        <sz val="10"/>
        <color theme="1"/>
        <rFont val="맑은 고딕"/>
        <family val="3"/>
        <charset val="129"/>
      </rPr>
      <t xml:space="preserve">: 중앙,양주,삼성,강서,서창,소주,평산,덕계
※ 양산시 법정동(20개) </t>
    </r>
    <r>
      <rPr>
        <b/>
        <sz val="10"/>
        <color rgb="FF0000FF"/>
        <rFont val="맑은 고딕"/>
        <family val="3"/>
        <charset val="129"/>
      </rPr>
      <t>X</t>
    </r>
    <r>
      <rPr>
        <b/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맑은 고딕"/>
        <family val="3"/>
        <charset val="129"/>
      </rPr>
      <t>남부,다방,명곡,북부,중부,남부,신기,북정,호계,산막,교동,유산,어곡,명동,삼호,용당,소주,주남,주진,매곡</t>
    </r>
    <phoneticPr fontId="2" type="noConversion"/>
  </si>
  <si>
    <r>
      <t xml:space="preserve">전보 </t>
    </r>
    <r>
      <rPr>
        <b/>
        <sz val="11"/>
        <color rgb="FF0000FF"/>
        <rFont val="맑은 고딕"/>
        <family val="3"/>
        <charset val="129"/>
        <scheme val="minor"/>
      </rPr>
      <t>희망학교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rgb="FFFF0000"/>
        <rFont val="맑은 고딕"/>
        <family val="3"/>
        <charset val="129"/>
        <scheme val="minor"/>
      </rPr>
      <t>통합</t>
    </r>
    <r>
      <rPr>
        <sz val="11"/>
        <color theme="1"/>
        <rFont val="맑은 고딕"/>
        <family val="2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하나만</t>
    </r>
    <r>
      <rPr>
        <sz val="11"/>
        <color theme="1"/>
        <rFont val="맑은 고딕"/>
        <family val="2"/>
        <charset val="129"/>
        <scheme val="minor"/>
      </rPr>
      <t xml:space="preserve"> 선택한다. </t>
    </r>
    <r>
      <rPr>
        <b/>
        <sz val="11"/>
        <color theme="1"/>
        <rFont val="맑은 고딕"/>
        <family val="3"/>
        <charset val="129"/>
        <scheme val="minor"/>
      </rPr>
      <t>학교 또는 급지 만기</t>
    </r>
    <r>
      <rPr>
        <sz val="11"/>
        <color theme="1"/>
        <rFont val="맑은 고딕"/>
        <family val="2"/>
        <charset val="129"/>
        <scheme val="minor"/>
      </rPr>
      <t xml:space="preserve">인 경우, </t>
    </r>
    <r>
      <rPr>
        <b/>
        <sz val="11"/>
        <color theme="1"/>
        <rFont val="맑은 고딕"/>
        <family val="3"/>
        <charset val="129"/>
        <scheme val="minor"/>
      </rPr>
      <t>전보 우선 대상자이면서 만기자</t>
    </r>
    <r>
      <rPr>
        <sz val="11"/>
        <color theme="1"/>
        <rFont val="맑은 고딕"/>
        <family val="2"/>
        <charset val="129"/>
        <scheme val="minor"/>
      </rPr>
      <t xml:space="preserve">인 경우 2희망, 3희망 학교를 하나씩 선택한다. </t>
    </r>
    <r>
      <rPr>
        <b/>
        <sz val="11"/>
        <color theme="1"/>
        <rFont val="맑은 고딕"/>
        <family val="3"/>
        <charset val="129"/>
        <scheme val="minor"/>
      </rPr>
      <t>과원</t>
    </r>
    <r>
      <rPr>
        <sz val="11"/>
        <color theme="1"/>
        <rFont val="맑은 고딕"/>
        <family val="2"/>
        <charset val="129"/>
        <scheme val="minor"/>
      </rPr>
      <t xml:space="preserve">일 경우 1희망, 2희망, 3희망을 선택하고 추가 입력 항목에서 세부 내용을 선택한다. 1희망~3희망으로 전보 희망 학교를 입력할 때 </t>
    </r>
    <r>
      <rPr>
        <b/>
        <sz val="11"/>
        <rFont val="맑은 고딕"/>
        <family val="3"/>
        <charset val="129"/>
        <scheme val="minor"/>
      </rPr>
      <t xml:space="preserve">같은 학교를 </t>
    </r>
    <r>
      <rPr>
        <b/>
        <sz val="11"/>
        <color rgb="FFFF0000"/>
        <rFont val="맑은 고딕"/>
        <family val="3"/>
        <charset val="129"/>
        <scheme val="minor"/>
      </rPr>
      <t>중복</t>
    </r>
    <r>
      <rPr>
        <b/>
        <sz val="11"/>
        <rFont val="맑은 고딕"/>
        <family val="3"/>
        <charset val="129"/>
        <scheme val="minor"/>
      </rPr>
      <t xml:space="preserve">하여 입력하면 </t>
    </r>
    <r>
      <rPr>
        <b/>
        <sz val="11"/>
        <color rgb="FFFF0000"/>
        <rFont val="맑은 고딕"/>
        <family val="3"/>
        <charset val="129"/>
        <scheme val="minor"/>
      </rPr>
      <t>안되고</t>
    </r>
    <r>
      <rPr>
        <b/>
        <sz val="11"/>
        <rFont val="맑은 고딕"/>
        <family val="3"/>
        <charset val="129"/>
        <scheme val="minor"/>
      </rPr>
      <t xml:space="preserve"> 모두 달라야 한다. </t>
    </r>
    <phoneticPr fontId="2" type="noConversion"/>
  </si>
  <si>
    <r>
      <rPr>
        <b/>
        <sz val="12"/>
        <color rgb="FF0000FF"/>
        <rFont val="맑은 고딕"/>
        <family val="3"/>
        <charset val="129"/>
        <scheme val="minor"/>
      </rPr>
      <t>올바른</t>
    </r>
    <r>
      <rPr>
        <b/>
        <sz val="12"/>
        <color theme="1"/>
        <rFont val="맑은 고딕"/>
        <family val="3"/>
        <charset val="129"/>
        <scheme val="minor"/>
      </rPr>
      <t xml:space="preserve"> 작성 예</t>
    </r>
    <phoneticPr fontId="2" type="noConversion"/>
  </si>
  <si>
    <r>
      <rPr>
        <b/>
        <sz val="12"/>
        <color rgb="FFFF0000"/>
        <rFont val="맑은 고딕"/>
        <family val="3"/>
        <charset val="129"/>
        <scheme val="minor"/>
      </rPr>
      <t>잘못된</t>
    </r>
    <r>
      <rPr>
        <b/>
        <sz val="12"/>
        <color theme="1"/>
        <rFont val="맑은 고딕"/>
        <family val="3"/>
        <charset val="129"/>
        <scheme val="minor"/>
      </rPr>
      <t xml:space="preserve"> 작성 예</t>
    </r>
    <phoneticPr fontId="2" type="noConversion"/>
  </si>
  <si>
    <t>양산중앙, 부산화명, 양산동면, 부산구서, 양산서창, 울산언양, 양산물금 등</t>
    <phoneticPr fontId="2" type="noConversion"/>
  </si>
  <si>
    <t>양산중부, 부산북구, 양산석산, 부산금정, 양산명동, 울산울주, 양산범어 등</t>
    <phoneticPr fontId="2" type="noConversion"/>
  </si>
  <si>
    <r>
      <t xml:space="preserve">과원이 해소될 경우, </t>
    </r>
    <r>
      <rPr>
        <b/>
        <sz val="10"/>
        <color rgb="FF0000FF"/>
        <rFont val="맑은 고딕"/>
        <family val="3"/>
        <charset val="129"/>
        <scheme val="minor"/>
      </rPr>
      <t>희망학교 전보희망</t>
    </r>
    <r>
      <rPr>
        <b/>
        <sz val="10"/>
        <color theme="1"/>
        <rFont val="맑은 고딕"/>
        <family val="3"/>
        <charset val="129"/>
        <scheme val="minor"/>
      </rPr>
      <t xml:space="preserve">
과원이 해소될 경우, </t>
    </r>
    <r>
      <rPr>
        <b/>
        <sz val="10"/>
        <color rgb="FF0000FF"/>
        <rFont val="맑은 고딕"/>
        <family val="3"/>
        <charset val="129"/>
        <scheme val="minor"/>
      </rPr>
      <t>현임교 계속 근무 희망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</si>
  <si>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 xml:space="preserve">1희망에 통합을 선택하지 않은 경우 </t>
    </r>
    <r>
      <rPr>
        <b/>
        <sz val="11"/>
        <color rgb="FFFF0000"/>
        <rFont val="맑은 고딕"/>
        <family val="3"/>
        <charset val="129"/>
        <scheme val="minor"/>
      </rPr>
      <t>반드시 공란</t>
    </r>
    <r>
      <rPr>
        <b/>
        <sz val="11"/>
        <rFont val="맑은 고딕"/>
        <family val="3"/>
        <charset val="129"/>
        <scheme val="minor"/>
      </rPr>
      <t>으로 한다.</t>
    </r>
    <r>
      <rPr>
        <sz val="11"/>
        <color theme="1"/>
        <rFont val="맑은 고딕"/>
        <family val="2"/>
        <charset val="129"/>
        <scheme val="minor"/>
      </rPr>
      <t xml:space="preserve">
1희망을 통합을 선택한 경우 희망하는 통합학교 순으로 통합 1희망~ 통합 3희망을 입력한다.(2, 3희망에 공란으로 하면 1희망 학교만 원하는 것을 의미함.)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통합 1희망~통합 3희망으로 </t>
    </r>
    <r>
      <rPr>
        <b/>
        <sz val="11"/>
        <color rgb="FF0000FF"/>
        <rFont val="맑은 고딕"/>
        <family val="3"/>
        <charset val="129"/>
        <scheme val="minor"/>
      </rPr>
      <t>통합학교</t>
    </r>
    <r>
      <rPr>
        <b/>
        <sz val="11"/>
        <color theme="1"/>
        <rFont val="맑은 고딕"/>
        <family val="3"/>
        <charset val="129"/>
        <scheme val="minor"/>
      </rPr>
      <t>를 입력</t>
    </r>
    <r>
      <rPr>
        <sz val="11"/>
        <color theme="1"/>
        <rFont val="맑은 고딕"/>
        <family val="2"/>
        <charset val="129"/>
        <scheme val="minor"/>
      </rPr>
      <t xml:space="preserve">할 때 </t>
    </r>
    <r>
      <rPr>
        <b/>
        <sz val="11"/>
        <color theme="1"/>
        <rFont val="맑은 고딕"/>
        <family val="3"/>
        <charset val="129"/>
        <scheme val="minor"/>
      </rPr>
      <t xml:space="preserve">같은 학교를 </t>
    </r>
    <r>
      <rPr>
        <b/>
        <sz val="11"/>
        <color rgb="FFFF0000"/>
        <rFont val="맑은 고딕"/>
        <family val="3"/>
        <charset val="129"/>
        <scheme val="minor"/>
      </rPr>
      <t>중복</t>
    </r>
    <r>
      <rPr>
        <b/>
        <sz val="11"/>
        <color theme="1"/>
        <rFont val="맑은 고딕"/>
        <family val="3"/>
        <charset val="129"/>
        <scheme val="minor"/>
      </rPr>
      <t>하여 입력하면 안되고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모두 달라야</t>
    </r>
    <r>
      <rPr>
        <sz val="11"/>
        <color theme="1"/>
        <rFont val="맑은 고딕"/>
        <family val="2"/>
        <charset val="129"/>
        <scheme val="minor"/>
      </rPr>
      <t xml:space="preserve"> 한다. 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</si>
  <si>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자동</t>
    </r>
    <r>
      <rPr>
        <sz val="11"/>
        <color theme="1"/>
        <rFont val="맑은 고딕"/>
        <family val="2"/>
        <charset val="129"/>
        <scheme val="minor"/>
      </rPr>
      <t xml:space="preserve">으로 계산되니 </t>
    </r>
    <r>
      <rPr>
        <b/>
        <sz val="11"/>
        <color rgb="FF0000FF"/>
        <rFont val="맑은 고딕"/>
        <family val="3"/>
        <charset val="129"/>
        <scheme val="minor"/>
      </rPr>
      <t xml:space="preserve">입력하지 않는다. </t>
    </r>
    <phoneticPr fontId="2" type="noConversion"/>
  </si>
  <si>
    <t>1.000, 0.750, 0.500, 0.300, 0.125 등</t>
    <phoneticPr fontId="2" type="noConversion"/>
  </si>
  <si>
    <r>
      <t xml:space="preserve">인사관리기준의 </t>
    </r>
    <r>
      <rPr>
        <b/>
        <sz val="11"/>
        <color rgb="FFFF0000"/>
        <rFont val="맑은 고딕"/>
        <family val="3"/>
        <charset val="129"/>
        <scheme val="minor"/>
      </rPr>
      <t>가산점 평정표</t>
    </r>
    <r>
      <rPr>
        <sz val="11"/>
        <color theme="1"/>
        <rFont val="맑은 고딕"/>
        <family val="2"/>
        <charset val="129"/>
        <scheme val="minor"/>
      </rPr>
      <t>를 참고하여 해당 점수를 입력한다.
근무실적의 경우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6개월마다</t>
    </r>
    <r>
      <rPr>
        <b/>
        <sz val="11"/>
        <rFont val="맑은 고딕"/>
        <family val="3"/>
        <charset val="129"/>
        <scheme val="minor"/>
      </rPr>
      <t xml:space="preserve"> 인정되는 점수</t>
    </r>
    <r>
      <rPr>
        <sz val="11"/>
        <color theme="1"/>
        <rFont val="맑은 고딕"/>
        <family val="2"/>
        <charset val="129"/>
        <scheme val="minor"/>
      </rPr>
      <t>를 확인하여 해당 기간의 점수를 계산한다. (소수점 마지막 다음에 마침표 찍지 말것)</t>
    </r>
    <phoneticPr fontId="2" type="noConversion"/>
  </si>
  <si>
    <r>
      <t xml:space="preserve">인사관리기준의 </t>
    </r>
    <r>
      <rPr>
        <b/>
        <sz val="11"/>
        <color rgb="FFFF0000"/>
        <rFont val="맑은 고딕"/>
        <family val="3"/>
        <charset val="129"/>
        <scheme val="minor"/>
      </rPr>
      <t>제4장 제19조 2항(1~6호)</t>
    </r>
    <r>
      <rPr>
        <sz val="11"/>
        <color theme="1"/>
        <rFont val="맑은 고딕"/>
        <family val="2"/>
        <charset val="129"/>
        <scheme val="minor"/>
      </rPr>
      <t xml:space="preserve">을 참조하여 종별로 </t>
    </r>
    <r>
      <rPr>
        <b/>
        <sz val="11"/>
        <color rgb="FFFF0000"/>
        <rFont val="맑은 고딕"/>
        <family val="3"/>
        <charset val="129"/>
        <scheme val="minor"/>
      </rPr>
      <t>현직위</t>
    </r>
    <r>
      <rPr>
        <b/>
        <sz val="11"/>
        <rFont val="맑은 고딕"/>
        <family val="3"/>
        <charset val="129"/>
        <scheme val="minor"/>
      </rPr>
      <t>에서 거양한 실적</t>
    </r>
    <r>
      <rPr>
        <sz val="11"/>
        <color theme="1"/>
        <rFont val="맑은 고딕"/>
        <family val="2"/>
        <charset val="129"/>
        <scheme val="minor"/>
      </rPr>
      <t xml:space="preserve">을 각 호별로 한 건씩 입력한다. 특히, </t>
    </r>
    <r>
      <rPr>
        <b/>
        <sz val="11"/>
        <color rgb="FF0000FF"/>
        <rFont val="맑은 고딕"/>
        <family val="3"/>
        <charset val="129"/>
        <scheme val="minor"/>
      </rPr>
      <t>1~3.수업실적란</t>
    </r>
    <r>
      <rPr>
        <sz val="11"/>
        <rFont val="맑은 고딕"/>
        <family val="3"/>
        <charset val="129"/>
        <scheme val="minor"/>
      </rPr>
      <t xml:space="preserve">은 쉼표(,)로 구분하여 해당 실적을 입력하고 점수를 기재한다.  </t>
    </r>
    <r>
      <rPr>
        <sz val="11"/>
        <color theme="1"/>
        <rFont val="맑은 고딕"/>
        <family val="2"/>
        <charset val="129"/>
        <scheme val="minor"/>
      </rPr>
      <t xml:space="preserve">단, 제11조 가산점 실적이 제19조 교육실습 협력학교 가산점과 </t>
    </r>
    <r>
      <rPr>
        <b/>
        <sz val="11"/>
        <color rgb="FFFF0000"/>
        <rFont val="맑은 고딕"/>
        <family val="3"/>
        <charset val="129"/>
        <scheme val="minor"/>
      </rPr>
      <t>중복</t>
    </r>
    <r>
      <rPr>
        <sz val="11"/>
        <color theme="1"/>
        <rFont val="맑은 고딕"/>
        <family val="2"/>
        <charset val="129"/>
        <scheme val="minor"/>
      </rPr>
      <t xml:space="preserve">될 경우, 인사관리기준 </t>
    </r>
    <r>
      <rPr>
        <b/>
        <sz val="11"/>
        <color rgb="FF0000FF"/>
        <rFont val="맑은 고딕"/>
        <family val="3"/>
        <charset val="129"/>
        <scheme val="minor"/>
      </rPr>
      <t xml:space="preserve">제19조 2항을 </t>
    </r>
    <r>
      <rPr>
        <b/>
        <sz val="11"/>
        <color rgb="FFFF0000"/>
        <rFont val="맑은 고딕"/>
        <family val="3"/>
        <charset val="129"/>
        <scheme val="minor"/>
      </rPr>
      <t>우선</t>
    </r>
    <r>
      <rPr>
        <sz val="11"/>
        <color theme="1"/>
        <rFont val="맑은 고딕"/>
        <family val="2"/>
        <charset val="129"/>
        <scheme val="minor"/>
      </rPr>
      <t xml:space="preserve">하되 제11조 조항의 가산점과 </t>
    </r>
    <r>
      <rPr>
        <b/>
        <sz val="11"/>
        <color theme="1"/>
        <rFont val="맑은 고딕"/>
        <family val="3"/>
        <charset val="129"/>
        <scheme val="minor"/>
      </rPr>
      <t xml:space="preserve">중복하여 사용할 수 </t>
    </r>
    <r>
      <rPr>
        <b/>
        <sz val="11"/>
        <color rgb="FFFF0000"/>
        <rFont val="맑은 고딕"/>
        <family val="3"/>
        <charset val="129"/>
        <scheme val="minor"/>
      </rPr>
      <t>없고,</t>
    </r>
    <r>
      <rPr>
        <sz val="11"/>
        <color theme="1"/>
        <rFont val="맑은 고딕"/>
        <family val="2"/>
        <charset val="129"/>
        <scheme val="minor"/>
      </rPr>
      <t xml:space="preserve"> 만기자의 경우 </t>
    </r>
    <r>
      <rPr>
        <sz val="11"/>
        <rFont val="맑은 고딕"/>
        <family val="3"/>
        <charset val="129"/>
        <scheme val="minor"/>
      </rPr>
      <t xml:space="preserve">다른 </t>
    </r>
    <r>
      <rPr>
        <b/>
        <sz val="11"/>
        <rFont val="맑은 고딕"/>
        <family val="3"/>
        <charset val="129"/>
        <scheme val="minor"/>
      </rPr>
      <t>일반 학교로 전보</t>
    </r>
    <r>
      <rPr>
        <sz val="11"/>
        <rFont val="맑은 고딕"/>
        <family val="3"/>
        <charset val="129"/>
        <scheme val="minor"/>
      </rPr>
      <t xml:space="preserve">할 시에는 </t>
    </r>
    <r>
      <rPr>
        <b/>
        <sz val="11"/>
        <color rgb="FF0000FF"/>
        <rFont val="맑은 고딕"/>
        <family val="3"/>
        <charset val="129"/>
        <scheme val="minor"/>
      </rPr>
      <t>제11조 조항</t>
    </r>
    <r>
      <rPr>
        <sz val="11"/>
        <rFont val="맑은 고딕"/>
        <family val="3"/>
        <charset val="129"/>
        <scheme val="minor"/>
      </rPr>
      <t>에 따른다.</t>
    </r>
    <r>
      <rPr>
        <b/>
        <sz val="11"/>
        <color rgb="FF0000FF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단, 현임교</t>
    </r>
    <r>
      <rPr>
        <sz val="11"/>
        <rFont val="맑은 고딕"/>
        <family val="3"/>
        <charset val="129"/>
        <scheme val="minor"/>
      </rPr>
      <t xml:space="preserve">에서 거양한 연구실적이 </t>
    </r>
    <r>
      <rPr>
        <b/>
        <sz val="11"/>
        <rFont val="맑은 고딕"/>
        <family val="3"/>
        <charset val="129"/>
        <scheme val="minor"/>
      </rPr>
      <t>가산점 평정표</t>
    </r>
    <r>
      <rPr>
        <sz val="11"/>
        <rFont val="맑은 고딕"/>
        <family val="3"/>
        <charset val="129"/>
        <scheme val="minor"/>
      </rPr>
      <t xml:space="preserve">의 가산점과 </t>
    </r>
    <r>
      <rPr>
        <b/>
        <sz val="11"/>
        <rFont val="맑은 고딕"/>
        <family val="3"/>
        <charset val="129"/>
        <scheme val="minor"/>
      </rPr>
      <t>교육실습 협력학교</t>
    </r>
    <r>
      <rPr>
        <sz val="11"/>
        <rFont val="맑은 고딕"/>
        <family val="3"/>
        <charset val="129"/>
        <scheme val="minor"/>
      </rPr>
      <t xml:space="preserve"> 가산점이 </t>
    </r>
    <r>
      <rPr>
        <b/>
        <sz val="11"/>
        <color rgb="FFFF0000"/>
        <rFont val="맑은 고딕"/>
        <family val="3"/>
        <charset val="129"/>
        <scheme val="minor"/>
      </rPr>
      <t>중복되고 만기자의 경우</t>
    </r>
    <r>
      <rPr>
        <b/>
        <sz val="11"/>
        <rFont val="맑은 고딕"/>
        <family val="3"/>
        <charset val="129"/>
        <scheme val="minor"/>
      </rPr>
      <t xml:space="preserve">, </t>
    </r>
    <r>
      <rPr>
        <sz val="11"/>
        <rFont val="맑은 고딕"/>
        <family val="3"/>
        <charset val="129"/>
        <scheme val="minor"/>
      </rPr>
      <t xml:space="preserve">가산점란에 </t>
    </r>
    <r>
      <rPr>
        <b/>
        <sz val="11"/>
        <color rgb="FF0000FF"/>
        <rFont val="맑은 고딕"/>
        <family val="3"/>
        <charset val="129"/>
        <scheme val="minor"/>
      </rPr>
      <t>해당 내용과 점수를 기재</t>
    </r>
    <r>
      <rPr>
        <sz val="11"/>
        <rFont val="맑은 고딕"/>
        <family val="3"/>
        <charset val="129"/>
        <scheme val="minor"/>
      </rPr>
      <t xml:space="preserve">하고, </t>
    </r>
    <r>
      <rPr>
        <b/>
        <sz val="11"/>
        <rFont val="맑은 고딕"/>
        <family val="3"/>
        <charset val="129"/>
        <scheme val="minor"/>
      </rPr>
      <t xml:space="preserve">교육실습 협력학교 가산점 중 </t>
    </r>
    <r>
      <rPr>
        <b/>
        <sz val="11"/>
        <color rgb="FFFF0000"/>
        <rFont val="맑은 고딕"/>
        <family val="3"/>
        <charset val="129"/>
        <scheme val="minor"/>
      </rPr>
      <t>연구실적 가산점</t>
    </r>
    <r>
      <rPr>
        <sz val="11"/>
        <rFont val="맑은 고딕"/>
        <family val="3"/>
        <charset val="129"/>
        <scheme val="minor"/>
      </rPr>
      <t>은 해당 영역 만점(2점)에서</t>
    </r>
    <r>
      <rPr>
        <sz val="11"/>
        <color theme="1"/>
        <rFont val="맑은 고딕"/>
        <family val="3"/>
        <charset val="129"/>
        <scheme val="minor"/>
      </rPr>
      <t xml:space="preserve"> 위의 </t>
    </r>
    <r>
      <rPr>
        <b/>
        <sz val="11"/>
        <color rgb="FF0000FF"/>
        <rFont val="맑은 고딕"/>
        <family val="3"/>
        <charset val="129"/>
        <scheme val="minor"/>
      </rPr>
      <t>가산점 영역 점수를 빼고 점수를 기재</t>
    </r>
    <r>
      <rPr>
        <sz val="11"/>
        <rFont val="맑은 고딕"/>
        <family val="3"/>
        <charset val="129"/>
        <scheme val="minor"/>
      </rPr>
      <t xml:space="preserve">한다. </t>
    </r>
    <phoneticPr fontId="2" type="noConversion"/>
  </si>
  <si>
    <t>초1정, 초2정, 초등특수1정, 초등특수2정, 보건1급, 보건2급, 사서1급, 사서2급, 상담1급, 상담2급</t>
    <phoneticPr fontId="2" type="noConversion"/>
  </si>
  <si>
    <t>88.03.11
1975년10월6일 등</t>
    <phoneticPr fontId="2" type="noConversion"/>
  </si>
  <si>
    <t>1988.03.11
1975.10.06 등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</si>
  <si>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yyyy.mm.dd</t>
    </r>
    <r>
      <rPr>
        <sz val="11"/>
        <color theme="1"/>
        <rFont val="맑은 고딕"/>
        <family val="2"/>
        <charset val="129"/>
        <scheme val="minor"/>
      </rPr>
      <t>형식으로 소수점으로 구분하여 년 4자리, 월 2자리, 일 2자리를 입력한다. (</t>
    </r>
    <r>
      <rPr>
        <b/>
        <sz val="11"/>
        <color theme="1"/>
        <rFont val="맑은 고딕"/>
        <family val="3"/>
        <charset val="129"/>
        <scheme val="minor"/>
      </rPr>
      <t>dd 다음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rgb="FF0000FF"/>
        <rFont val="맑은 고딕"/>
        <family val="3"/>
        <charset val="129"/>
        <scheme val="minor"/>
      </rPr>
      <t>마침표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찍지 말것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</si>
  <si>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초등학교</t>
    </r>
    <r>
      <rPr>
        <sz val="11"/>
        <color theme="1"/>
        <rFont val="맑은 고딕"/>
        <family val="3"/>
        <charset val="129"/>
        <scheme val="minor"/>
      </rPr>
      <t xml:space="preserve">를 </t>
    </r>
    <r>
      <rPr>
        <b/>
        <sz val="11"/>
        <color rgb="FFFF0000"/>
        <rFont val="맑은 고딕"/>
        <family val="3"/>
        <charset val="129"/>
        <scheme val="minor"/>
      </rPr>
      <t>제외</t>
    </r>
    <r>
      <rPr>
        <sz val="11"/>
        <color theme="1"/>
        <rFont val="맑은 고딕"/>
        <family val="2"/>
        <charset val="129"/>
        <scheme val="minor"/>
      </rPr>
      <t xml:space="preserve">한 학교명을 입력한다. 이전 학교가 </t>
    </r>
    <r>
      <rPr>
        <b/>
        <sz val="11"/>
        <color theme="1"/>
        <rFont val="맑은 고딕"/>
        <family val="3"/>
        <charset val="129"/>
        <scheme val="minor"/>
      </rPr>
      <t>타지역</t>
    </r>
    <r>
      <rPr>
        <sz val="11"/>
        <color theme="1"/>
        <rFont val="맑은 고딕"/>
        <family val="2"/>
        <charset val="129"/>
        <scheme val="minor"/>
      </rPr>
      <t xml:space="preserve">일 경우, </t>
    </r>
    <r>
      <rPr>
        <b/>
        <sz val="11"/>
        <color rgb="FFFF0000"/>
        <rFont val="맑은 고딕"/>
        <family val="3"/>
        <charset val="129"/>
        <scheme val="minor"/>
      </rPr>
      <t>지역명</t>
    </r>
    <r>
      <rPr>
        <sz val="11"/>
        <rFont val="맑은 고딕"/>
        <family val="3"/>
        <charset val="129"/>
        <scheme val="minor"/>
      </rPr>
      <t xml:space="preserve">을 붙이고 </t>
    </r>
    <r>
      <rPr>
        <b/>
        <sz val="11"/>
        <color rgb="FF0000FF"/>
        <rFont val="맑은 고딕"/>
        <family val="3"/>
        <charset val="129"/>
        <scheme val="minor"/>
      </rPr>
      <t>학교명</t>
    </r>
    <r>
      <rPr>
        <sz val="11"/>
        <color theme="1"/>
        <rFont val="맑은 고딕"/>
        <family val="2"/>
        <charset val="129"/>
        <scheme val="minor"/>
      </rPr>
      <t>을 입력한다.</t>
    </r>
    <phoneticPr fontId="2" type="noConversion"/>
  </si>
  <si>
    <t>경력사항의 점수</t>
    <phoneticPr fontId="2" type="noConversion"/>
  </si>
  <si>
    <t>경력사항 급지(점수)</t>
    <phoneticPr fontId="2" type="noConversion"/>
  </si>
  <si>
    <t>경력사항 근무연수</t>
    <phoneticPr fontId="2" type="noConversion"/>
  </si>
  <si>
    <t>가산점 종별</t>
    <phoneticPr fontId="2" type="noConversion"/>
  </si>
  <si>
    <t>가산점 내용</t>
    <phoneticPr fontId="2" type="noConversion"/>
  </si>
  <si>
    <t>가산점 기간,  연월일</t>
    <phoneticPr fontId="2" type="noConversion"/>
  </si>
  <si>
    <t>가산점 점수</t>
    <phoneticPr fontId="2" type="noConversion"/>
  </si>
  <si>
    <r>
      <t>전보 내신자 조사서(</t>
    </r>
    <r>
      <rPr>
        <b/>
        <sz val="11"/>
        <color rgb="FFFF0000"/>
        <rFont val="맑은 고딕"/>
        <family val="3"/>
        <charset val="129"/>
        <scheme val="minor"/>
      </rPr>
      <t>초등</t>
    </r>
    <r>
      <rPr>
        <b/>
        <sz val="11"/>
        <color rgb="FF0000FF"/>
        <rFont val="맑은 고딕"/>
        <family val="3"/>
        <charset val="129"/>
        <scheme val="minor"/>
      </rPr>
      <t xml:space="preserve"> 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특수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상담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사서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보건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 중 하나 선택한다.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</si>
  <si>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yyyy.mm.dd~yyyy.mm.dd</t>
    </r>
    <r>
      <rPr>
        <sz val="11"/>
        <color theme="1"/>
        <rFont val="맑은 고딕"/>
        <family val="2"/>
        <charset val="129"/>
        <scheme val="minor"/>
      </rPr>
      <t xml:space="preserve">형식으로 소수점으로 구분하여 년 4자리, 월 2자리, 일 2자리 를 입력하고 기간처음과 끝은 </t>
    </r>
    <r>
      <rPr>
        <b/>
        <sz val="11"/>
        <color rgb="FFFF0000"/>
        <rFont val="맑은 고딕"/>
        <family val="3"/>
        <charset val="129"/>
        <scheme val="minor"/>
      </rPr>
      <t>' ~ '(O),</t>
    </r>
    <r>
      <rPr>
        <b/>
        <sz val="11"/>
        <color rgb="FF0000FF"/>
        <rFont val="맑은 고딕"/>
        <family val="3"/>
        <charset val="129"/>
        <scheme val="minor"/>
      </rPr>
      <t xml:space="preserve"> '- '(X)</t>
    </r>
    <r>
      <rPr>
        <sz val="11"/>
        <color theme="1"/>
        <rFont val="맑은 고딕"/>
        <family val="2"/>
        <charset val="129"/>
        <scheme val="minor"/>
      </rPr>
      <t xml:space="preserve"> 구분한다. (</t>
    </r>
    <r>
      <rPr>
        <b/>
        <sz val="11"/>
        <color theme="1"/>
        <rFont val="맑은 고딕"/>
        <family val="3"/>
        <charset val="129"/>
        <scheme val="minor"/>
      </rPr>
      <t>dd 다음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rgb="FF0000FF"/>
        <rFont val="맑은 고딕"/>
        <family val="3"/>
        <charset val="129"/>
        <scheme val="minor"/>
      </rPr>
      <t>마침표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찍지 말것</t>
    </r>
    <r>
      <rPr>
        <sz val="11"/>
        <color theme="1"/>
        <rFont val="맑은 고딕"/>
        <family val="2"/>
        <charset val="129"/>
        <scheme val="minor"/>
      </rPr>
      <t xml:space="preserve">)
휴직기간이 있으면 휴직기간 전후로 구분하여 입력하고 휴직기간만큼 소급하여 이전 근무경력을 포함하여 입력한다.
</t>
    </r>
    <r>
      <rPr>
        <b/>
        <sz val="11"/>
        <color rgb="FF0000FF"/>
        <rFont val="HY견명조"/>
        <family val="1"/>
        <charset val="129"/>
      </rPr>
      <t>☞</t>
    </r>
    <r>
      <rPr>
        <b/>
        <sz val="11"/>
        <color rgb="FF0000FF"/>
        <rFont val="맑은 고딕"/>
        <family val="3"/>
        <charset val="129"/>
      </rPr>
      <t xml:space="preserve"> 근무기간은 최근 근무기간부터 </t>
    </r>
    <r>
      <rPr>
        <b/>
        <sz val="11"/>
        <color rgb="FFFF0000"/>
        <rFont val="맑은 고딕"/>
        <family val="3"/>
        <charset val="129"/>
      </rPr>
      <t>4년간</t>
    </r>
    <r>
      <rPr>
        <b/>
        <sz val="11"/>
        <color rgb="FF0000FF"/>
        <rFont val="맑은 고딕"/>
        <family val="3"/>
        <charset val="129"/>
      </rPr>
      <t xml:space="preserve"> 기재</t>
    </r>
    <phoneticPr fontId="2" type="noConversion"/>
  </si>
  <si>
    <t>2021.03.01~2025.02.28
2017.03.01~2018.02.28</t>
    <phoneticPr fontId="2" type="noConversion"/>
  </si>
  <si>
    <t>2021.03.01.-2025.02.28.
2021.03.01.~2025.02.28.
21.03.01~25.02.28
21.3.1~22.2.28
2021년3월1일~2025년2월28일 등</t>
    <phoneticPr fontId="2" type="noConversion"/>
  </si>
  <si>
    <t xml:space="preserve">2023.03.01~2025.02.28
2021.08.29 등
</t>
    <phoneticPr fontId="2" type="noConversion"/>
  </si>
  <si>
    <t>2023.03.01.-2025.02.28.
2023.03.01.~2025.02.28.
23.03.01~25.02.28
21.3.1~22.2.28
2023년3월1일~2025년2월28일
2021.8.29, 2021년8월29일 등</t>
    <phoneticPr fontId="2" type="noConversion"/>
  </si>
  <si>
    <t>직계존비속 교직원2 소속</t>
    <phoneticPr fontId="2" type="noConversion"/>
  </si>
  <si>
    <r>
      <t>근무실적 등 가산점 해당 기간은</t>
    </r>
    <r>
      <rPr>
        <b/>
        <sz val="11"/>
        <color rgb="FFFF0000"/>
        <rFont val="맑은 고딕"/>
        <family val="3"/>
        <charset val="129"/>
        <scheme val="minor"/>
      </rPr>
      <t xml:space="preserve"> yyyy.mm.dd~yyyy.mm.dd</t>
    </r>
    <r>
      <rPr>
        <sz val="11"/>
        <color theme="1"/>
        <rFont val="맑은 고딕"/>
        <family val="2"/>
        <charset val="129"/>
        <scheme val="minor"/>
      </rPr>
      <t>형식으로 소수점으로 구분하여 년 4자리, 월 2자리, 일 2자리 를 입력하고 기간처음과 끝은</t>
    </r>
    <r>
      <rPr>
        <b/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'~ '(O), </t>
    </r>
    <r>
      <rPr>
        <b/>
        <sz val="11"/>
        <color rgb="FF0000FF"/>
        <rFont val="맑은 고딕"/>
        <family val="3"/>
        <charset val="129"/>
        <scheme val="minor"/>
      </rPr>
      <t xml:space="preserve">'-'(X) </t>
    </r>
    <r>
      <rPr>
        <sz val="11"/>
        <color theme="1"/>
        <rFont val="맑은 고딕"/>
        <family val="2"/>
        <charset val="129"/>
        <scheme val="minor"/>
      </rPr>
      <t>구분한다. (</t>
    </r>
    <r>
      <rPr>
        <b/>
        <sz val="11"/>
        <color theme="1"/>
        <rFont val="맑은 고딕"/>
        <family val="3"/>
        <charset val="129"/>
        <scheme val="minor"/>
      </rPr>
      <t>dd 다음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rgb="FF0000FF"/>
        <rFont val="맑은 고딕"/>
        <family val="3"/>
        <charset val="129"/>
        <scheme val="minor"/>
      </rPr>
      <t>마침표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찍지 말것</t>
    </r>
    <r>
      <rPr>
        <sz val="11"/>
        <color theme="1"/>
        <rFont val="맑은 고딕"/>
        <family val="2"/>
        <charset val="129"/>
        <scheme val="minor"/>
      </rPr>
      <t xml:space="preserve">)
표창 등 가산점 해당 연월일은  </t>
    </r>
    <r>
      <rPr>
        <b/>
        <sz val="11"/>
        <color rgb="FFFF0000"/>
        <rFont val="맑은 고딕"/>
        <family val="3"/>
        <charset val="129"/>
        <scheme val="minor"/>
      </rPr>
      <t>yyyy.mm.dd</t>
    </r>
    <r>
      <rPr>
        <sz val="11"/>
        <color theme="1"/>
        <rFont val="맑은 고딕"/>
        <family val="2"/>
        <charset val="129"/>
        <scheme val="minor"/>
      </rPr>
      <t xml:space="preserve">형식으로 소수점으로 구분하여 년 4자리, 월 2자리, 일 2자리 를 입력한다.
</t>
    </r>
    <r>
      <rPr>
        <sz val="11"/>
        <rFont val="맑은 고딕"/>
        <family val="3"/>
        <charset val="129"/>
        <scheme val="minor"/>
      </rPr>
      <t>우우조건 1,2,3(</t>
    </r>
    <r>
      <rPr>
        <b/>
        <sz val="11"/>
        <color rgb="FF0000FF"/>
        <rFont val="맑은 고딕"/>
        <family val="3"/>
        <charset val="129"/>
        <scheme val="minor"/>
      </rPr>
      <t>국가유공자,부모봉양,장애인</t>
    </r>
    <r>
      <rPr>
        <sz val="11"/>
        <rFont val="맑은 고딕"/>
        <family val="3"/>
        <charset val="129"/>
        <scheme val="minor"/>
      </rPr>
      <t xml:space="preserve">)은 </t>
    </r>
    <r>
      <rPr>
        <b/>
        <sz val="11"/>
        <color rgb="FFFF0000"/>
        <rFont val="맑은 고딕"/>
        <family val="3"/>
        <charset val="129"/>
        <scheme val="minor"/>
      </rPr>
      <t>부양기간</t>
    </r>
    <r>
      <rPr>
        <sz val="11"/>
        <rFont val="맑은 고딕"/>
        <family val="3"/>
        <charset val="129"/>
        <scheme val="minor"/>
      </rPr>
      <t xml:space="preserve"> 입력, 4(</t>
    </r>
    <r>
      <rPr>
        <b/>
        <sz val="11"/>
        <color rgb="FF0000FF"/>
        <rFont val="맑은 고딕"/>
        <family val="3"/>
        <charset val="129"/>
        <scheme val="minor"/>
      </rPr>
      <t>55세이상</t>
    </r>
    <r>
      <rPr>
        <sz val="11"/>
        <rFont val="맑은 고딕"/>
        <family val="3"/>
        <charset val="129"/>
        <scheme val="minor"/>
      </rPr>
      <t xml:space="preserve">)는 </t>
    </r>
    <r>
      <rPr>
        <b/>
        <sz val="11"/>
        <color rgb="FFFF0000"/>
        <rFont val="맑은 고딕"/>
        <family val="3"/>
        <charset val="129"/>
        <scheme val="minor"/>
      </rPr>
      <t>생년월일</t>
    </r>
    <r>
      <rPr>
        <sz val="11"/>
        <rFont val="맑은 고딕"/>
        <family val="3"/>
        <charset val="129"/>
        <scheme val="minor"/>
      </rPr>
      <t xml:space="preserve"> 입력, 5,6,7(</t>
    </r>
    <r>
      <rPr>
        <b/>
        <sz val="11"/>
        <color rgb="FF0000FF"/>
        <rFont val="맑은 고딕"/>
        <family val="3"/>
        <charset val="129"/>
        <scheme val="minor"/>
      </rPr>
      <t>자녀</t>
    </r>
    <r>
      <rPr>
        <sz val="11"/>
        <rFont val="맑은 고딕"/>
        <family val="3"/>
        <charset val="129"/>
        <scheme val="minor"/>
      </rPr>
      <t xml:space="preserve">)은 입력 </t>
    </r>
    <r>
      <rPr>
        <b/>
        <sz val="11"/>
        <color rgb="FFFF0000"/>
        <rFont val="맑은 고딕"/>
        <family val="3"/>
        <charset val="129"/>
        <scheme val="minor"/>
      </rPr>
      <t>불필요</t>
    </r>
    <phoneticPr fontId="2" type="noConversion"/>
  </si>
  <si>
    <t>공모교장 만료</t>
  </si>
  <si>
    <t>교육지원청 Wee센터에서 4년 이상 근무</t>
    <phoneticPr fontId="2" type="noConversion"/>
  </si>
  <si>
    <t>2026학년도 관내 전보 내신 조사서 작성 방법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</si>
</sst>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_);[Red]\(0.000\)"/>
    <numFmt numFmtId="178" formatCode="0.000_ "/>
    <numFmt numFmtId="179" formatCode="#,##0.000_ 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20"/>
      <name val="HY신명조"/>
      <family val="1"/>
      <charset val="129"/>
    </font>
    <font>
      <sz val="8"/>
      <name val="돋움"/>
      <family val="3"/>
      <charset val="129"/>
    </font>
    <font>
      <sz val="9"/>
      <name val="HY신명조"/>
      <family val="1"/>
      <charset val="129"/>
    </font>
    <font>
      <b/>
      <sz val="14"/>
      <name val="HY신명조"/>
      <family val="1"/>
      <charset val="129"/>
    </font>
    <font>
      <sz val="12"/>
      <name val="HY신명조"/>
      <family val="1"/>
      <charset val="129"/>
    </font>
    <font>
      <b/>
      <sz val="12"/>
      <name val="HY신명조"/>
      <family val="1"/>
      <charset val="129"/>
    </font>
    <font>
      <sz val="11"/>
      <color theme="1"/>
      <name val="맑은 고딕"/>
      <family val="3"/>
      <charset val="129"/>
      <scheme val="minor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rgb="FF0000FF"/>
      <name val="HY견명조"/>
      <family val="1"/>
      <charset val="129"/>
    </font>
    <font>
      <b/>
      <sz val="11"/>
      <color rgb="FF0000FF"/>
      <name val="맑은 고딕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197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1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31" fontId="3" fillId="0" borderId="0" xfId="1" applyNumberFormat="1" applyFont="1" applyAlignment="1">
      <alignment horizontal="center" vertical="center"/>
    </xf>
    <xf numFmtId="176" fontId="8" fillId="0" borderId="9" xfId="1" applyNumberFormat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3" fillId="0" borderId="0" xfId="1" applyNumberFormat="1" applyFont="1" applyAlignment="1">
      <alignment horizontal="center" vertical="center"/>
    </xf>
    <xf numFmtId="0" fontId="0" fillId="4" borderId="19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41" xfId="0" applyBorder="1" applyAlignment="1">
      <alignment horizontal="center" vertical="center"/>
    </xf>
    <xf numFmtId="178" fontId="8" fillId="0" borderId="9" xfId="1" applyNumberFormat="1" applyFont="1" applyBorder="1" applyAlignment="1" applyProtection="1">
      <alignment horizontal="center" vertical="center" wrapText="1"/>
      <protection locked="0"/>
    </xf>
    <xf numFmtId="0" fontId="0" fillId="0" borderId="39" xfId="0" applyBorder="1" applyAlignment="1">
      <alignment horizontal="left" vertical="center" wrapText="1"/>
    </xf>
    <xf numFmtId="0" fontId="13" fillId="2" borderId="43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20" fillId="4" borderId="9" xfId="0" applyFont="1" applyFill="1" applyBorder="1" applyAlignment="1">
      <alignment vertical="center" wrapText="1"/>
    </xf>
    <xf numFmtId="0" fontId="20" fillId="4" borderId="15" xfId="0" applyFont="1" applyFill="1" applyBorder="1" applyAlignment="1">
      <alignment vertical="center" wrapText="1"/>
    </xf>
    <xf numFmtId="0" fontId="8" fillId="0" borderId="9" xfId="1" applyFont="1" applyBorder="1">
      <alignment vertical="center"/>
    </xf>
    <xf numFmtId="0" fontId="8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 shrinkToFit="1"/>
    </xf>
    <xf numFmtId="0" fontId="8" fillId="0" borderId="3" xfId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 wrapText="1"/>
    </xf>
    <xf numFmtId="0" fontId="17" fillId="0" borderId="58" xfId="0" applyFont="1" applyFill="1" applyBorder="1" applyAlignment="1">
      <alignment horizontal="center" vertical="center"/>
    </xf>
    <xf numFmtId="0" fontId="20" fillId="0" borderId="59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/>
    </xf>
    <xf numFmtId="178" fontId="8" fillId="0" borderId="9" xfId="1" applyNumberFormat="1" applyFont="1" applyBorder="1" applyAlignment="1" applyProtection="1">
      <alignment horizontal="center" vertical="center"/>
      <protection locked="0"/>
    </xf>
    <xf numFmtId="178" fontId="8" fillId="0" borderId="15" xfId="1" applyNumberFormat="1" applyFont="1" applyBorder="1" applyAlignment="1" applyProtection="1">
      <alignment horizontal="center" vertical="center"/>
      <protection locked="0"/>
    </xf>
    <xf numFmtId="0" fontId="10" fillId="0" borderId="59" xfId="0" applyFont="1" applyFill="1" applyBorder="1" applyAlignment="1">
      <alignment horizontal="left" vertical="center" wrapText="1"/>
    </xf>
    <xf numFmtId="0" fontId="32" fillId="4" borderId="9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vertical="center" wrapText="1"/>
    </xf>
    <xf numFmtId="0" fontId="13" fillId="2" borderId="42" xfId="0" applyFont="1" applyFill="1" applyBorder="1" applyAlignment="1">
      <alignment horizontal="center" vertical="center"/>
    </xf>
    <xf numFmtId="0" fontId="11" fillId="3" borderId="9" xfId="1" applyFont="1" applyFill="1" applyBorder="1" applyAlignment="1" applyProtection="1">
      <alignment horizontal="left" vertical="center"/>
      <protection locked="0"/>
    </xf>
    <xf numFmtId="0" fontId="11" fillId="3" borderId="13" xfId="1" applyFont="1" applyFill="1" applyBorder="1" applyAlignment="1" applyProtection="1">
      <alignment horizontal="left" vertical="center"/>
      <protection locked="0"/>
    </xf>
    <xf numFmtId="0" fontId="11" fillId="3" borderId="15" xfId="1" applyFont="1" applyFill="1" applyBorder="1" applyAlignment="1" applyProtection="1">
      <alignment horizontal="left" vertical="center"/>
      <protection locked="0"/>
    </xf>
    <xf numFmtId="0" fontId="11" fillId="3" borderId="19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0" xfId="1" applyFont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 wrapText="1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178" fontId="9" fillId="5" borderId="22" xfId="1" applyNumberFormat="1" applyFont="1" applyFill="1" applyBorder="1" applyAlignment="1">
      <alignment horizontal="center" vertical="center" wrapText="1"/>
    </xf>
    <xf numFmtId="178" fontId="9" fillId="5" borderId="25" xfId="1" applyNumberFormat="1" applyFont="1" applyFill="1" applyBorder="1" applyAlignment="1">
      <alignment horizontal="center" vertical="center" wrapText="1"/>
    </xf>
    <xf numFmtId="0" fontId="11" fillId="2" borderId="56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11" fillId="3" borderId="45" xfId="1" applyFont="1" applyFill="1" applyBorder="1" applyAlignment="1" applyProtection="1">
      <alignment horizontal="center" vertical="center"/>
      <protection locked="0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/>
      <protection locked="0"/>
    </xf>
    <xf numFmtId="0" fontId="8" fillId="0" borderId="11" xfId="1" applyFont="1" applyBorder="1" applyAlignment="1" applyProtection="1">
      <alignment horizontal="center" vertical="center"/>
      <protection locked="0"/>
    </xf>
    <xf numFmtId="0" fontId="8" fillId="0" borderId="12" xfId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>
      <alignment horizontal="center" vertical="center" textRotation="255"/>
    </xf>
    <xf numFmtId="0" fontId="8" fillId="0" borderId="8" xfId="1" applyFont="1" applyBorder="1" applyAlignment="1">
      <alignment horizontal="center" vertical="center" textRotation="255"/>
    </xf>
    <xf numFmtId="0" fontId="8" fillId="0" borderId="3" xfId="1" applyFont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/>
    </xf>
    <xf numFmtId="0" fontId="11" fillId="2" borderId="39" xfId="1" applyFont="1" applyFill="1" applyBorder="1" applyAlignment="1">
      <alignment horizontal="center" vertical="center"/>
    </xf>
    <xf numFmtId="0" fontId="12" fillId="2" borderId="42" xfId="1" applyFont="1" applyFill="1" applyBorder="1" applyAlignment="1">
      <alignment horizontal="center" vertical="center"/>
    </xf>
    <xf numFmtId="0" fontId="12" fillId="2" borderId="43" xfId="1" applyFont="1" applyFill="1" applyBorder="1" applyAlignment="1">
      <alignment horizontal="center" vertical="center"/>
    </xf>
    <xf numFmtId="0" fontId="12" fillId="2" borderId="44" xfId="1" applyFont="1" applyFill="1" applyBorder="1" applyAlignment="1">
      <alignment horizontal="center" vertical="center"/>
    </xf>
    <xf numFmtId="0" fontId="11" fillId="3" borderId="39" xfId="1" applyFont="1" applyFill="1" applyBorder="1" applyAlignment="1" applyProtection="1">
      <alignment horizontal="left" vertical="center"/>
      <protection locked="0"/>
    </xf>
    <xf numFmtId="0" fontId="11" fillId="3" borderId="40" xfId="1" applyFont="1" applyFill="1" applyBorder="1" applyAlignment="1" applyProtection="1">
      <alignment horizontal="left" vertical="center"/>
      <protection locked="0"/>
    </xf>
    <xf numFmtId="0" fontId="8" fillId="0" borderId="10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8" fillId="0" borderId="26" xfId="1" applyFont="1" applyBorder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center" vertical="center"/>
      <protection locked="0"/>
    </xf>
    <xf numFmtId="0" fontId="8" fillId="0" borderId="28" xfId="1" applyFont="1" applyBorder="1" applyAlignment="1" applyProtection="1">
      <alignment horizontal="center" vertical="center"/>
      <protection locked="0"/>
    </xf>
    <xf numFmtId="0" fontId="9" fillId="0" borderId="32" xfId="1" applyFont="1" applyBorder="1" applyAlignment="1">
      <alignment horizontal="center" vertical="center" wrapText="1"/>
    </xf>
    <xf numFmtId="0" fontId="9" fillId="0" borderId="35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shrinkToFit="1"/>
    </xf>
    <xf numFmtId="0" fontId="8" fillId="0" borderId="24" xfId="1" applyFont="1" applyBorder="1" applyAlignment="1">
      <alignment horizontal="center" vertical="center" shrinkToFit="1"/>
    </xf>
    <xf numFmtId="0" fontId="8" fillId="0" borderId="39" xfId="1" applyFont="1" applyBorder="1" applyAlignment="1" applyProtection="1">
      <alignment horizontal="center" vertical="center"/>
      <protection locked="0"/>
    </xf>
    <xf numFmtId="178" fontId="9" fillId="5" borderId="23" xfId="1" applyNumberFormat="1" applyFont="1" applyFill="1" applyBorder="1" applyAlignment="1">
      <alignment horizontal="center" vertical="center"/>
    </xf>
    <xf numFmtId="178" fontId="9" fillId="5" borderId="48" xfId="1" applyNumberFormat="1" applyFont="1" applyFill="1" applyBorder="1" applyAlignment="1">
      <alignment horizontal="center" vertical="center"/>
    </xf>
    <xf numFmtId="178" fontId="9" fillId="5" borderId="38" xfId="1" applyNumberFormat="1" applyFont="1" applyFill="1" applyBorder="1" applyAlignment="1">
      <alignment horizontal="center" vertical="center"/>
    </xf>
    <xf numFmtId="178" fontId="9" fillId="5" borderId="49" xfId="1" applyNumberFormat="1" applyFont="1" applyFill="1" applyBorder="1" applyAlignment="1">
      <alignment horizontal="center" vertical="center"/>
    </xf>
    <xf numFmtId="0" fontId="8" fillId="0" borderId="4" xfId="1" applyFont="1" applyBorder="1" applyAlignment="1" applyProtection="1">
      <alignment horizontal="center" vertical="center" wrapText="1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20" xfId="1" applyFont="1" applyBorder="1" applyAlignment="1">
      <alignment horizontal="center" vertical="center" shrinkToFit="1"/>
    </xf>
    <xf numFmtId="0" fontId="8" fillId="0" borderId="21" xfId="1" applyFont="1" applyBorder="1" applyAlignment="1">
      <alignment horizontal="center" vertical="center" shrinkToFit="1"/>
    </xf>
    <xf numFmtId="0" fontId="4" fillId="0" borderId="0" xfId="1" applyFont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right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177" fontId="9" fillId="5" borderId="9" xfId="1" applyNumberFormat="1" applyFont="1" applyFill="1" applyBorder="1" applyAlignment="1">
      <alignment horizontal="center" vertical="center"/>
    </xf>
    <xf numFmtId="177" fontId="9" fillId="5" borderId="15" xfId="1" applyNumberFormat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6" fontId="9" fillId="0" borderId="16" xfId="1" applyNumberFormat="1" applyFont="1" applyBorder="1" applyAlignment="1" applyProtection="1">
      <alignment horizontal="center" vertical="center" wrapText="1"/>
      <protection locked="0"/>
    </xf>
    <xf numFmtId="176" fontId="9" fillId="0" borderId="17" xfId="1" applyNumberFormat="1" applyFont="1" applyBorder="1" applyAlignment="1" applyProtection="1">
      <alignment horizontal="center" vertical="center" wrapText="1"/>
      <protection locked="0"/>
    </xf>
    <xf numFmtId="176" fontId="9" fillId="0" borderId="18" xfId="1" applyNumberFormat="1" applyFont="1" applyBorder="1" applyAlignment="1" applyProtection="1">
      <alignment horizontal="center" vertical="center" wrapText="1"/>
      <protection locked="0"/>
    </xf>
    <xf numFmtId="179" fontId="9" fillId="5" borderId="16" xfId="1" applyNumberFormat="1" applyFont="1" applyFill="1" applyBorder="1" applyAlignment="1">
      <alignment horizontal="center" vertical="center" wrapText="1"/>
    </xf>
    <xf numFmtId="179" fontId="9" fillId="5" borderId="17" xfId="1" applyNumberFormat="1" applyFont="1" applyFill="1" applyBorder="1" applyAlignment="1">
      <alignment horizontal="center" vertical="center" wrapText="1"/>
    </xf>
    <xf numFmtId="179" fontId="9" fillId="5" borderId="18" xfId="1" applyNumberFormat="1" applyFont="1" applyFill="1" applyBorder="1" applyAlignment="1">
      <alignment horizontal="center" vertical="center" wrapText="1"/>
    </xf>
    <xf numFmtId="0" fontId="9" fillId="0" borderId="15" xfId="1" applyFont="1" applyBorder="1" applyAlignment="1" applyProtection="1">
      <alignment horizontal="center" vertical="center" wrapText="1"/>
      <protection locked="0"/>
    </xf>
    <xf numFmtId="0" fontId="9" fillId="0" borderId="18" xfId="1" applyFont="1" applyBorder="1" applyAlignment="1" applyProtection="1">
      <alignment horizontal="center" vertical="center" wrapText="1"/>
      <protection locked="0"/>
    </xf>
    <xf numFmtId="0" fontId="9" fillId="0" borderId="19" xfId="1" applyFont="1" applyBorder="1" applyAlignment="1" applyProtection="1">
      <alignment horizontal="center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0" fontId="9" fillId="0" borderId="11" xfId="1" applyFont="1" applyBorder="1" applyAlignment="1" applyProtection="1">
      <alignment horizontal="center" vertical="center" wrapText="1"/>
      <protection locked="0"/>
    </xf>
    <xf numFmtId="0" fontId="9" fillId="0" borderId="12" xfId="1" applyFont="1" applyBorder="1" applyAlignment="1" applyProtection="1">
      <alignment horizontal="center" vertical="center" wrapText="1"/>
      <protection locked="0"/>
    </xf>
    <xf numFmtId="178" fontId="8" fillId="5" borderId="10" xfId="1" applyNumberFormat="1" applyFont="1" applyFill="1" applyBorder="1" applyAlignment="1">
      <alignment horizontal="center" vertical="center"/>
    </xf>
    <xf numFmtId="178" fontId="8" fillId="5" borderId="45" xfId="1" applyNumberFormat="1" applyFont="1" applyFill="1" applyBorder="1" applyAlignment="1">
      <alignment horizontal="center" vertical="center"/>
    </xf>
    <xf numFmtId="0" fontId="9" fillId="0" borderId="9" xfId="1" applyFont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9" fillId="0" borderId="3" xfId="1" applyFont="1" applyBorder="1" applyAlignment="1" applyProtection="1">
      <alignment horizontal="center" vertical="center"/>
      <protection locked="0"/>
    </xf>
    <xf numFmtId="0" fontId="9" fillId="0" borderId="4" xfId="1" applyFont="1" applyBorder="1" applyAlignment="1" applyProtection="1">
      <alignment horizontal="center" vertical="center"/>
      <protection locked="0"/>
    </xf>
    <xf numFmtId="0" fontId="9" fillId="0" borderId="6" xfId="1" applyFont="1" applyBorder="1" applyAlignment="1" applyProtection="1">
      <alignment horizontal="center" vertical="center"/>
      <protection locked="0"/>
    </xf>
    <xf numFmtId="0" fontId="9" fillId="0" borderId="5" xfId="1" applyFont="1" applyBorder="1" applyAlignment="1" applyProtection="1">
      <alignment horizontal="center" vertical="center"/>
      <protection locked="0"/>
    </xf>
    <xf numFmtId="0" fontId="9" fillId="0" borderId="7" xfId="1" applyFont="1" applyBorder="1" applyAlignment="1" applyProtection="1">
      <alignment horizontal="center" vertical="center"/>
      <protection locked="0"/>
    </xf>
    <xf numFmtId="0" fontId="9" fillId="0" borderId="10" xfId="1" applyFont="1" applyBorder="1" applyAlignment="1" applyProtection="1">
      <alignment horizontal="center" vertical="center"/>
      <protection locked="0"/>
    </xf>
    <xf numFmtId="0" fontId="9" fillId="0" borderId="45" xfId="1" applyFont="1" applyBorder="1" applyAlignment="1" applyProtection="1">
      <alignment horizontal="center" vertical="center"/>
      <protection locked="0"/>
    </xf>
    <xf numFmtId="0" fontId="8" fillId="0" borderId="8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178" fontId="9" fillId="5" borderId="20" xfId="1" applyNumberFormat="1" applyFont="1" applyFill="1" applyBorder="1" applyAlignment="1">
      <alignment horizontal="center" vertical="center"/>
    </xf>
    <xf numFmtId="178" fontId="9" fillId="5" borderId="47" xfId="1" applyNumberFormat="1" applyFont="1" applyFill="1" applyBorder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 wrapText="1"/>
      <protection locked="0"/>
    </xf>
    <xf numFmtId="0" fontId="8" fillId="0" borderId="31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 wrapText="1"/>
    </xf>
    <xf numFmtId="0" fontId="8" fillId="0" borderId="16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17" xfId="1" applyFont="1" applyBorder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30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35</xdr:row>
      <xdr:rowOff>30480</xdr:rowOff>
    </xdr:from>
    <xdr:to>
      <xdr:col>5</xdr:col>
      <xdr:colOff>2179320</xdr:colOff>
      <xdr:row>35</xdr:row>
      <xdr:rowOff>1120140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5E5CF1-0209-181C-8CA4-2770FF1ED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5620" y="18737580"/>
          <a:ext cx="4488180" cy="1089660"/>
        </a:xfrm>
        <a:prstGeom prst="rect">
          <a:avLst/>
        </a:prstGeom>
      </xdr:spPr>
    </xdr:pic>
    <xdr:clientData/>
  </xdr:twoCellAnchor>
  <xdr:twoCellAnchor editAs="oneCell">
    <xdr:from>
      <xdr:col>3</xdr:col>
      <xdr:colOff>4800600</xdr:colOff>
      <xdr:row>35</xdr:row>
      <xdr:rowOff>1144905</xdr:rowOff>
    </xdr:from>
    <xdr:to>
      <xdr:col>5</xdr:col>
      <xdr:colOff>2179320</xdr:colOff>
      <xdr:row>35</xdr:row>
      <xdr:rowOff>2270760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ED9FD5-ABDB-45A5-A88D-E4A52094C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6828"/>
        <a:stretch/>
      </xdr:blipFill>
      <xdr:spPr>
        <a:xfrm>
          <a:off x="6819900" y="19402425"/>
          <a:ext cx="4533900" cy="1125855"/>
        </a:xfrm>
        <a:prstGeom prst="rect">
          <a:avLst/>
        </a:prstGeom>
      </xdr:spPr>
    </xdr:pic>
    <xdr:clientData/>
  </xdr:twoCellAnchor>
  <xdr:twoCellAnchor>
    <xdr:from>
      <xdr:col>4</xdr:col>
      <xdr:colOff>379095</xdr:colOff>
      <xdr:row>35</xdr:row>
      <xdr:rowOff>1564005</xdr:rowOff>
    </xdr:from>
    <xdr:to>
      <xdr:col>6</xdr:col>
      <xdr:colOff>1905</xdr:colOff>
      <xdr:row>35</xdr:row>
      <xdr:rowOff>1764030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8930B38-9950-4CBD-BB8B-249851C520AE}"/>
            </a:ext>
          </a:extLst>
        </xdr:cNvPr>
        <xdr:cNvSpPr/>
      </xdr:nvSpPr>
      <xdr:spPr>
        <a:xfrm>
          <a:off x="7214235" y="20271105"/>
          <a:ext cx="422529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1:AM157"/>
  <sheetViews>
    <sheetView showZeros="0" tabSelected="1" zoomScaleNormal="100" workbookViewId="0">
      <selection activeCell="B3" sqref="B3:Q3"/>
    </sheetView>
  </sheetViews>
  <sheetFormatPr defaultRowHeight="10.9" x14ac:dyDescent="0.3"/>
  <cols>
    <col min="1" max="1" width="1.6640625" style="1" customWidth="1"/>
    <col min="2" max="2" width="7.6640625" style="1" customWidth="1"/>
    <col min="3" max="3" width="4.109375" style="1" customWidth="1"/>
    <col min="4" max="4" width="9.6640625" style="1" customWidth="1"/>
    <col min="5" max="5" width="7.6640625" style="1" customWidth="1"/>
    <col min="6" max="7" width="5.6640625" style="1" customWidth="1"/>
    <col min="8" max="9" width="4.109375" style="1" customWidth="1"/>
    <col min="10" max="10" width="7.6640625" style="1" customWidth="1"/>
    <col min="11" max="12" width="5.6640625" style="1" customWidth="1"/>
    <col min="13" max="13" width="9.6640625" style="1" customWidth="1"/>
    <col min="14" max="14" width="8.109375" style="1" customWidth="1"/>
    <col min="15" max="15" width="10.6640625" style="1" customWidth="1"/>
    <col min="16" max="17" width="9.6640625" style="1" customWidth="1"/>
    <col min="18" max="18" width="9" style="1"/>
    <col min="19" max="26" width="9" style="1" hidden="1" customWidth="1"/>
    <col min="27" max="28" width="9.44140625" style="1" hidden="1" customWidth="1"/>
    <col min="29" max="29" width="13.6640625" style="1" hidden="1" customWidth="1"/>
    <col min="30" max="30" width="9.44140625" style="1" hidden="1" customWidth="1"/>
    <col min="31" max="31" width="11.44140625" style="1" hidden="1" customWidth="1"/>
    <col min="32" max="32" width="5.44140625" style="1" hidden="1" customWidth="1"/>
    <col min="33" max="34" width="9" style="1" hidden="1" customWidth="1"/>
    <col min="35" max="35" width="24.6640625" style="1" hidden="1" customWidth="1"/>
    <col min="36" max="36" width="40.109375" style="1" hidden="1" customWidth="1"/>
    <col min="37" max="37" width="11" style="1" hidden="1" customWidth="1"/>
    <col min="38" max="38" width="31.6640625" style="1" hidden="1" customWidth="1"/>
    <col min="39" max="39" width="8.6640625" style="1" hidden="1" customWidth="1"/>
    <col min="40" max="40" width="0" style="1" hidden="1" customWidth="1"/>
    <col min="41" max="261" width="9" style="1"/>
    <col min="262" max="262" width="1.6640625" style="1" customWidth="1"/>
    <col min="263" max="263" width="7.6640625" style="1" customWidth="1"/>
    <col min="264" max="264" width="4.109375" style="1" customWidth="1"/>
    <col min="265" max="265" width="9.6640625" style="1" customWidth="1"/>
    <col min="266" max="266" width="7.6640625" style="1" customWidth="1"/>
    <col min="267" max="267" width="10.44140625" style="1" bestFit="1" customWidth="1"/>
    <col min="268" max="269" width="7.6640625" style="1" customWidth="1"/>
    <col min="270" max="270" width="10.44140625" style="1" bestFit="1" customWidth="1"/>
    <col min="271" max="271" width="9.6640625" style="1" customWidth="1"/>
    <col min="272" max="272" width="8.109375" style="1" customWidth="1"/>
    <col min="273" max="273" width="10.44140625" style="1" bestFit="1" customWidth="1"/>
    <col min="274" max="275" width="9.6640625" style="1" customWidth="1"/>
    <col min="276" max="517" width="9" style="1"/>
    <col min="518" max="518" width="1.6640625" style="1" customWidth="1"/>
    <col min="519" max="519" width="7.6640625" style="1" customWidth="1"/>
    <col min="520" max="520" width="4.109375" style="1" customWidth="1"/>
    <col min="521" max="521" width="9.6640625" style="1" customWidth="1"/>
    <col min="522" max="522" width="7.6640625" style="1" customWidth="1"/>
    <col min="523" max="523" width="10.44140625" style="1" bestFit="1" customWidth="1"/>
    <col min="524" max="525" width="7.6640625" style="1" customWidth="1"/>
    <col min="526" max="526" width="10.44140625" style="1" bestFit="1" customWidth="1"/>
    <col min="527" max="527" width="9.6640625" style="1" customWidth="1"/>
    <col min="528" max="528" width="8.109375" style="1" customWidth="1"/>
    <col min="529" max="529" width="10.44140625" style="1" bestFit="1" customWidth="1"/>
    <col min="530" max="531" width="9.6640625" style="1" customWidth="1"/>
    <col min="532" max="773" width="9" style="1"/>
    <col min="774" max="774" width="1.6640625" style="1" customWidth="1"/>
    <col min="775" max="775" width="7.6640625" style="1" customWidth="1"/>
    <col min="776" max="776" width="4.109375" style="1" customWidth="1"/>
    <col min="777" max="777" width="9.6640625" style="1" customWidth="1"/>
    <col min="778" max="778" width="7.6640625" style="1" customWidth="1"/>
    <col min="779" max="779" width="10.44140625" style="1" bestFit="1" customWidth="1"/>
    <col min="780" max="781" width="7.6640625" style="1" customWidth="1"/>
    <col min="782" max="782" width="10.44140625" style="1" bestFit="1" customWidth="1"/>
    <col min="783" max="783" width="9.6640625" style="1" customWidth="1"/>
    <col min="784" max="784" width="8.109375" style="1" customWidth="1"/>
    <col min="785" max="785" width="10.44140625" style="1" bestFit="1" customWidth="1"/>
    <col min="786" max="787" width="9.6640625" style="1" customWidth="1"/>
    <col min="788" max="1029" width="9" style="1"/>
    <col min="1030" max="1030" width="1.6640625" style="1" customWidth="1"/>
    <col min="1031" max="1031" width="7.6640625" style="1" customWidth="1"/>
    <col min="1032" max="1032" width="4.109375" style="1" customWidth="1"/>
    <col min="1033" max="1033" width="9.6640625" style="1" customWidth="1"/>
    <col min="1034" max="1034" width="7.6640625" style="1" customWidth="1"/>
    <col min="1035" max="1035" width="10.44140625" style="1" bestFit="1" customWidth="1"/>
    <col min="1036" max="1037" width="7.6640625" style="1" customWidth="1"/>
    <col min="1038" max="1038" width="10.44140625" style="1" bestFit="1" customWidth="1"/>
    <col min="1039" max="1039" width="9.6640625" style="1" customWidth="1"/>
    <col min="1040" max="1040" width="8.109375" style="1" customWidth="1"/>
    <col min="1041" max="1041" width="10.44140625" style="1" bestFit="1" customWidth="1"/>
    <col min="1042" max="1043" width="9.6640625" style="1" customWidth="1"/>
    <col min="1044" max="1285" width="9" style="1"/>
    <col min="1286" max="1286" width="1.6640625" style="1" customWidth="1"/>
    <col min="1287" max="1287" width="7.6640625" style="1" customWidth="1"/>
    <col min="1288" max="1288" width="4.109375" style="1" customWidth="1"/>
    <col min="1289" max="1289" width="9.6640625" style="1" customWidth="1"/>
    <col min="1290" max="1290" width="7.6640625" style="1" customWidth="1"/>
    <col min="1291" max="1291" width="10.44140625" style="1" bestFit="1" customWidth="1"/>
    <col min="1292" max="1293" width="7.6640625" style="1" customWidth="1"/>
    <col min="1294" max="1294" width="10.44140625" style="1" bestFit="1" customWidth="1"/>
    <col min="1295" max="1295" width="9.6640625" style="1" customWidth="1"/>
    <col min="1296" max="1296" width="8.109375" style="1" customWidth="1"/>
    <col min="1297" max="1297" width="10.44140625" style="1" bestFit="1" customWidth="1"/>
    <col min="1298" max="1299" width="9.6640625" style="1" customWidth="1"/>
    <col min="1300" max="1541" width="9" style="1"/>
    <col min="1542" max="1542" width="1.6640625" style="1" customWidth="1"/>
    <col min="1543" max="1543" width="7.6640625" style="1" customWidth="1"/>
    <col min="1544" max="1544" width="4.109375" style="1" customWidth="1"/>
    <col min="1545" max="1545" width="9.6640625" style="1" customWidth="1"/>
    <col min="1546" max="1546" width="7.6640625" style="1" customWidth="1"/>
    <col min="1547" max="1547" width="10.44140625" style="1" bestFit="1" customWidth="1"/>
    <col min="1548" max="1549" width="7.6640625" style="1" customWidth="1"/>
    <col min="1550" max="1550" width="10.44140625" style="1" bestFit="1" customWidth="1"/>
    <col min="1551" max="1551" width="9.6640625" style="1" customWidth="1"/>
    <col min="1552" max="1552" width="8.109375" style="1" customWidth="1"/>
    <col min="1553" max="1553" width="10.44140625" style="1" bestFit="1" customWidth="1"/>
    <col min="1554" max="1555" width="9.6640625" style="1" customWidth="1"/>
    <col min="1556" max="1797" width="9" style="1"/>
    <col min="1798" max="1798" width="1.6640625" style="1" customWidth="1"/>
    <col min="1799" max="1799" width="7.6640625" style="1" customWidth="1"/>
    <col min="1800" max="1800" width="4.109375" style="1" customWidth="1"/>
    <col min="1801" max="1801" width="9.6640625" style="1" customWidth="1"/>
    <col min="1802" max="1802" width="7.6640625" style="1" customWidth="1"/>
    <col min="1803" max="1803" width="10.44140625" style="1" bestFit="1" customWidth="1"/>
    <col min="1804" max="1805" width="7.6640625" style="1" customWidth="1"/>
    <col min="1806" max="1806" width="10.44140625" style="1" bestFit="1" customWidth="1"/>
    <col min="1807" max="1807" width="9.6640625" style="1" customWidth="1"/>
    <col min="1808" max="1808" width="8.109375" style="1" customWidth="1"/>
    <col min="1809" max="1809" width="10.44140625" style="1" bestFit="1" customWidth="1"/>
    <col min="1810" max="1811" width="9.6640625" style="1" customWidth="1"/>
    <col min="1812" max="2053" width="9" style="1"/>
    <col min="2054" max="2054" width="1.6640625" style="1" customWidth="1"/>
    <col min="2055" max="2055" width="7.6640625" style="1" customWidth="1"/>
    <col min="2056" max="2056" width="4.109375" style="1" customWidth="1"/>
    <col min="2057" max="2057" width="9.6640625" style="1" customWidth="1"/>
    <col min="2058" max="2058" width="7.6640625" style="1" customWidth="1"/>
    <col min="2059" max="2059" width="10.44140625" style="1" bestFit="1" customWidth="1"/>
    <col min="2060" max="2061" width="7.6640625" style="1" customWidth="1"/>
    <col min="2062" max="2062" width="10.44140625" style="1" bestFit="1" customWidth="1"/>
    <col min="2063" max="2063" width="9.6640625" style="1" customWidth="1"/>
    <col min="2064" max="2064" width="8.109375" style="1" customWidth="1"/>
    <col min="2065" max="2065" width="10.44140625" style="1" bestFit="1" customWidth="1"/>
    <col min="2066" max="2067" width="9.6640625" style="1" customWidth="1"/>
    <col min="2068" max="2309" width="9" style="1"/>
    <col min="2310" max="2310" width="1.6640625" style="1" customWidth="1"/>
    <col min="2311" max="2311" width="7.6640625" style="1" customWidth="1"/>
    <col min="2312" max="2312" width="4.109375" style="1" customWidth="1"/>
    <col min="2313" max="2313" width="9.6640625" style="1" customWidth="1"/>
    <col min="2314" max="2314" width="7.6640625" style="1" customWidth="1"/>
    <col min="2315" max="2315" width="10.44140625" style="1" bestFit="1" customWidth="1"/>
    <col min="2316" max="2317" width="7.6640625" style="1" customWidth="1"/>
    <col min="2318" max="2318" width="10.44140625" style="1" bestFit="1" customWidth="1"/>
    <col min="2319" max="2319" width="9.6640625" style="1" customWidth="1"/>
    <col min="2320" max="2320" width="8.109375" style="1" customWidth="1"/>
    <col min="2321" max="2321" width="10.44140625" style="1" bestFit="1" customWidth="1"/>
    <col min="2322" max="2323" width="9.6640625" style="1" customWidth="1"/>
    <col min="2324" max="2565" width="9" style="1"/>
    <col min="2566" max="2566" width="1.6640625" style="1" customWidth="1"/>
    <col min="2567" max="2567" width="7.6640625" style="1" customWidth="1"/>
    <col min="2568" max="2568" width="4.109375" style="1" customWidth="1"/>
    <col min="2569" max="2569" width="9.6640625" style="1" customWidth="1"/>
    <col min="2570" max="2570" width="7.6640625" style="1" customWidth="1"/>
    <col min="2571" max="2571" width="10.44140625" style="1" bestFit="1" customWidth="1"/>
    <col min="2572" max="2573" width="7.6640625" style="1" customWidth="1"/>
    <col min="2574" max="2574" width="10.44140625" style="1" bestFit="1" customWidth="1"/>
    <col min="2575" max="2575" width="9.6640625" style="1" customWidth="1"/>
    <col min="2576" max="2576" width="8.109375" style="1" customWidth="1"/>
    <col min="2577" max="2577" width="10.44140625" style="1" bestFit="1" customWidth="1"/>
    <col min="2578" max="2579" width="9.6640625" style="1" customWidth="1"/>
    <col min="2580" max="2821" width="9" style="1"/>
    <col min="2822" max="2822" width="1.6640625" style="1" customWidth="1"/>
    <col min="2823" max="2823" width="7.6640625" style="1" customWidth="1"/>
    <col min="2824" max="2824" width="4.109375" style="1" customWidth="1"/>
    <col min="2825" max="2825" width="9.6640625" style="1" customWidth="1"/>
    <col min="2826" max="2826" width="7.6640625" style="1" customWidth="1"/>
    <col min="2827" max="2827" width="10.44140625" style="1" bestFit="1" customWidth="1"/>
    <col min="2828" max="2829" width="7.6640625" style="1" customWidth="1"/>
    <col min="2830" max="2830" width="10.44140625" style="1" bestFit="1" customWidth="1"/>
    <col min="2831" max="2831" width="9.6640625" style="1" customWidth="1"/>
    <col min="2832" max="2832" width="8.109375" style="1" customWidth="1"/>
    <col min="2833" max="2833" width="10.44140625" style="1" bestFit="1" customWidth="1"/>
    <col min="2834" max="2835" width="9.6640625" style="1" customWidth="1"/>
    <col min="2836" max="3077" width="9" style="1"/>
    <col min="3078" max="3078" width="1.6640625" style="1" customWidth="1"/>
    <col min="3079" max="3079" width="7.6640625" style="1" customWidth="1"/>
    <col min="3080" max="3080" width="4.109375" style="1" customWidth="1"/>
    <col min="3081" max="3081" width="9.6640625" style="1" customWidth="1"/>
    <col min="3082" max="3082" width="7.6640625" style="1" customWidth="1"/>
    <col min="3083" max="3083" width="10.44140625" style="1" bestFit="1" customWidth="1"/>
    <col min="3084" max="3085" width="7.6640625" style="1" customWidth="1"/>
    <col min="3086" max="3086" width="10.44140625" style="1" bestFit="1" customWidth="1"/>
    <col min="3087" max="3087" width="9.6640625" style="1" customWidth="1"/>
    <col min="3088" max="3088" width="8.109375" style="1" customWidth="1"/>
    <col min="3089" max="3089" width="10.44140625" style="1" bestFit="1" customWidth="1"/>
    <col min="3090" max="3091" width="9.6640625" style="1" customWidth="1"/>
    <col min="3092" max="3333" width="9" style="1"/>
    <col min="3334" max="3334" width="1.6640625" style="1" customWidth="1"/>
    <col min="3335" max="3335" width="7.6640625" style="1" customWidth="1"/>
    <col min="3336" max="3336" width="4.109375" style="1" customWidth="1"/>
    <col min="3337" max="3337" width="9.6640625" style="1" customWidth="1"/>
    <col min="3338" max="3338" width="7.6640625" style="1" customWidth="1"/>
    <col min="3339" max="3339" width="10.44140625" style="1" bestFit="1" customWidth="1"/>
    <col min="3340" max="3341" width="7.6640625" style="1" customWidth="1"/>
    <col min="3342" max="3342" width="10.44140625" style="1" bestFit="1" customWidth="1"/>
    <col min="3343" max="3343" width="9.6640625" style="1" customWidth="1"/>
    <col min="3344" max="3344" width="8.109375" style="1" customWidth="1"/>
    <col min="3345" max="3345" width="10.44140625" style="1" bestFit="1" customWidth="1"/>
    <col min="3346" max="3347" width="9.6640625" style="1" customWidth="1"/>
    <col min="3348" max="3589" width="9" style="1"/>
    <col min="3590" max="3590" width="1.6640625" style="1" customWidth="1"/>
    <col min="3591" max="3591" width="7.6640625" style="1" customWidth="1"/>
    <col min="3592" max="3592" width="4.109375" style="1" customWidth="1"/>
    <col min="3593" max="3593" width="9.6640625" style="1" customWidth="1"/>
    <col min="3594" max="3594" width="7.6640625" style="1" customWidth="1"/>
    <col min="3595" max="3595" width="10.44140625" style="1" bestFit="1" customWidth="1"/>
    <col min="3596" max="3597" width="7.6640625" style="1" customWidth="1"/>
    <col min="3598" max="3598" width="10.44140625" style="1" bestFit="1" customWidth="1"/>
    <col min="3599" max="3599" width="9.6640625" style="1" customWidth="1"/>
    <col min="3600" max="3600" width="8.109375" style="1" customWidth="1"/>
    <col min="3601" max="3601" width="10.44140625" style="1" bestFit="1" customWidth="1"/>
    <col min="3602" max="3603" width="9.6640625" style="1" customWidth="1"/>
    <col min="3604" max="3845" width="9" style="1"/>
    <col min="3846" max="3846" width="1.6640625" style="1" customWidth="1"/>
    <col min="3847" max="3847" width="7.6640625" style="1" customWidth="1"/>
    <col min="3848" max="3848" width="4.109375" style="1" customWidth="1"/>
    <col min="3849" max="3849" width="9.6640625" style="1" customWidth="1"/>
    <col min="3850" max="3850" width="7.6640625" style="1" customWidth="1"/>
    <col min="3851" max="3851" width="10.44140625" style="1" bestFit="1" customWidth="1"/>
    <col min="3852" max="3853" width="7.6640625" style="1" customWidth="1"/>
    <col min="3854" max="3854" width="10.44140625" style="1" bestFit="1" customWidth="1"/>
    <col min="3855" max="3855" width="9.6640625" style="1" customWidth="1"/>
    <col min="3856" max="3856" width="8.109375" style="1" customWidth="1"/>
    <col min="3857" max="3857" width="10.44140625" style="1" bestFit="1" customWidth="1"/>
    <col min="3858" max="3859" width="9.6640625" style="1" customWidth="1"/>
    <col min="3860" max="4101" width="9" style="1"/>
    <col min="4102" max="4102" width="1.6640625" style="1" customWidth="1"/>
    <col min="4103" max="4103" width="7.6640625" style="1" customWidth="1"/>
    <col min="4104" max="4104" width="4.109375" style="1" customWidth="1"/>
    <col min="4105" max="4105" width="9.6640625" style="1" customWidth="1"/>
    <col min="4106" max="4106" width="7.6640625" style="1" customWidth="1"/>
    <col min="4107" max="4107" width="10.44140625" style="1" bestFit="1" customWidth="1"/>
    <col min="4108" max="4109" width="7.6640625" style="1" customWidth="1"/>
    <col min="4110" max="4110" width="10.44140625" style="1" bestFit="1" customWidth="1"/>
    <col min="4111" max="4111" width="9.6640625" style="1" customWidth="1"/>
    <col min="4112" max="4112" width="8.109375" style="1" customWidth="1"/>
    <col min="4113" max="4113" width="10.44140625" style="1" bestFit="1" customWidth="1"/>
    <col min="4114" max="4115" width="9.6640625" style="1" customWidth="1"/>
    <col min="4116" max="4357" width="9" style="1"/>
    <col min="4358" max="4358" width="1.6640625" style="1" customWidth="1"/>
    <col min="4359" max="4359" width="7.6640625" style="1" customWidth="1"/>
    <col min="4360" max="4360" width="4.109375" style="1" customWidth="1"/>
    <col min="4361" max="4361" width="9.6640625" style="1" customWidth="1"/>
    <col min="4362" max="4362" width="7.6640625" style="1" customWidth="1"/>
    <col min="4363" max="4363" width="10.44140625" style="1" bestFit="1" customWidth="1"/>
    <col min="4364" max="4365" width="7.6640625" style="1" customWidth="1"/>
    <col min="4366" max="4366" width="10.44140625" style="1" bestFit="1" customWidth="1"/>
    <col min="4367" max="4367" width="9.6640625" style="1" customWidth="1"/>
    <col min="4368" max="4368" width="8.109375" style="1" customWidth="1"/>
    <col min="4369" max="4369" width="10.44140625" style="1" bestFit="1" customWidth="1"/>
    <col min="4370" max="4371" width="9.6640625" style="1" customWidth="1"/>
    <col min="4372" max="4613" width="9" style="1"/>
    <col min="4614" max="4614" width="1.6640625" style="1" customWidth="1"/>
    <col min="4615" max="4615" width="7.6640625" style="1" customWidth="1"/>
    <col min="4616" max="4616" width="4.109375" style="1" customWidth="1"/>
    <col min="4617" max="4617" width="9.6640625" style="1" customWidth="1"/>
    <col min="4618" max="4618" width="7.6640625" style="1" customWidth="1"/>
    <col min="4619" max="4619" width="10.44140625" style="1" bestFit="1" customWidth="1"/>
    <col min="4620" max="4621" width="7.6640625" style="1" customWidth="1"/>
    <col min="4622" max="4622" width="10.44140625" style="1" bestFit="1" customWidth="1"/>
    <col min="4623" max="4623" width="9.6640625" style="1" customWidth="1"/>
    <col min="4624" max="4624" width="8.109375" style="1" customWidth="1"/>
    <col min="4625" max="4625" width="10.44140625" style="1" bestFit="1" customWidth="1"/>
    <col min="4626" max="4627" width="9.6640625" style="1" customWidth="1"/>
    <col min="4628" max="4869" width="9" style="1"/>
    <col min="4870" max="4870" width="1.6640625" style="1" customWidth="1"/>
    <col min="4871" max="4871" width="7.6640625" style="1" customWidth="1"/>
    <col min="4872" max="4872" width="4.109375" style="1" customWidth="1"/>
    <col min="4873" max="4873" width="9.6640625" style="1" customWidth="1"/>
    <col min="4874" max="4874" width="7.6640625" style="1" customWidth="1"/>
    <col min="4875" max="4875" width="10.44140625" style="1" bestFit="1" customWidth="1"/>
    <col min="4876" max="4877" width="7.6640625" style="1" customWidth="1"/>
    <col min="4878" max="4878" width="10.44140625" style="1" bestFit="1" customWidth="1"/>
    <col min="4879" max="4879" width="9.6640625" style="1" customWidth="1"/>
    <col min="4880" max="4880" width="8.109375" style="1" customWidth="1"/>
    <col min="4881" max="4881" width="10.44140625" style="1" bestFit="1" customWidth="1"/>
    <col min="4882" max="4883" width="9.6640625" style="1" customWidth="1"/>
    <col min="4884" max="5125" width="9" style="1"/>
    <col min="5126" max="5126" width="1.6640625" style="1" customWidth="1"/>
    <col min="5127" max="5127" width="7.6640625" style="1" customWidth="1"/>
    <col min="5128" max="5128" width="4.109375" style="1" customWidth="1"/>
    <col min="5129" max="5129" width="9.6640625" style="1" customWidth="1"/>
    <col min="5130" max="5130" width="7.6640625" style="1" customWidth="1"/>
    <col min="5131" max="5131" width="10.44140625" style="1" bestFit="1" customWidth="1"/>
    <col min="5132" max="5133" width="7.6640625" style="1" customWidth="1"/>
    <col min="5134" max="5134" width="10.44140625" style="1" bestFit="1" customWidth="1"/>
    <col min="5135" max="5135" width="9.6640625" style="1" customWidth="1"/>
    <col min="5136" max="5136" width="8.109375" style="1" customWidth="1"/>
    <col min="5137" max="5137" width="10.44140625" style="1" bestFit="1" customWidth="1"/>
    <col min="5138" max="5139" width="9.6640625" style="1" customWidth="1"/>
    <col min="5140" max="5381" width="9" style="1"/>
    <col min="5382" max="5382" width="1.6640625" style="1" customWidth="1"/>
    <col min="5383" max="5383" width="7.6640625" style="1" customWidth="1"/>
    <col min="5384" max="5384" width="4.109375" style="1" customWidth="1"/>
    <col min="5385" max="5385" width="9.6640625" style="1" customWidth="1"/>
    <col min="5386" max="5386" width="7.6640625" style="1" customWidth="1"/>
    <col min="5387" max="5387" width="10.44140625" style="1" bestFit="1" customWidth="1"/>
    <col min="5388" max="5389" width="7.6640625" style="1" customWidth="1"/>
    <col min="5390" max="5390" width="10.44140625" style="1" bestFit="1" customWidth="1"/>
    <col min="5391" max="5391" width="9.6640625" style="1" customWidth="1"/>
    <col min="5392" max="5392" width="8.109375" style="1" customWidth="1"/>
    <col min="5393" max="5393" width="10.44140625" style="1" bestFit="1" customWidth="1"/>
    <col min="5394" max="5395" width="9.6640625" style="1" customWidth="1"/>
    <col min="5396" max="5637" width="9" style="1"/>
    <col min="5638" max="5638" width="1.6640625" style="1" customWidth="1"/>
    <col min="5639" max="5639" width="7.6640625" style="1" customWidth="1"/>
    <col min="5640" max="5640" width="4.109375" style="1" customWidth="1"/>
    <col min="5641" max="5641" width="9.6640625" style="1" customWidth="1"/>
    <col min="5642" max="5642" width="7.6640625" style="1" customWidth="1"/>
    <col min="5643" max="5643" width="10.44140625" style="1" bestFit="1" customWidth="1"/>
    <col min="5644" max="5645" width="7.6640625" style="1" customWidth="1"/>
    <col min="5646" max="5646" width="10.44140625" style="1" bestFit="1" customWidth="1"/>
    <col min="5647" max="5647" width="9.6640625" style="1" customWidth="1"/>
    <col min="5648" max="5648" width="8.109375" style="1" customWidth="1"/>
    <col min="5649" max="5649" width="10.44140625" style="1" bestFit="1" customWidth="1"/>
    <col min="5650" max="5651" width="9.6640625" style="1" customWidth="1"/>
    <col min="5652" max="5893" width="9" style="1"/>
    <col min="5894" max="5894" width="1.6640625" style="1" customWidth="1"/>
    <col min="5895" max="5895" width="7.6640625" style="1" customWidth="1"/>
    <col min="5896" max="5896" width="4.109375" style="1" customWidth="1"/>
    <col min="5897" max="5897" width="9.6640625" style="1" customWidth="1"/>
    <col min="5898" max="5898" width="7.6640625" style="1" customWidth="1"/>
    <col min="5899" max="5899" width="10.44140625" style="1" bestFit="1" customWidth="1"/>
    <col min="5900" max="5901" width="7.6640625" style="1" customWidth="1"/>
    <col min="5902" max="5902" width="10.44140625" style="1" bestFit="1" customWidth="1"/>
    <col min="5903" max="5903" width="9.6640625" style="1" customWidth="1"/>
    <col min="5904" max="5904" width="8.109375" style="1" customWidth="1"/>
    <col min="5905" max="5905" width="10.44140625" style="1" bestFit="1" customWidth="1"/>
    <col min="5906" max="5907" width="9.6640625" style="1" customWidth="1"/>
    <col min="5908" max="6149" width="9" style="1"/>
    <col min="6150" max="6150" width="1.6640625" style="1" customWidth="1"/>
    <col min="6151" max="6151" width="7.6640625" style="1" customWidth="1"/>
    <col min="6152" max="6152" width="4.109375" style="1" customWidth="1"/>
    <col min="6153" max="6153" width="9.6640625" style="1" customWidth="1"/>
    <col min="6154" max="6154" width="7.6640625" style="1" customWidth="1"/>
    <col min="6155" max="6155" width="10.44140625" style="1" bestFit="1" customWidth="1"/>
    <col min="6156" max="6157" width="7.6640625" style="1" customWidth="1"/>
    <col min="6158" max="6158" width="10.44140625" style="1" bestFit="1" customWidth="1"/>
    <col min="6159" max="6159" width="9.6640625" style="1" customWidth="1"/>
    <col min="6160" max="6160" width="8.109375" style="1" customWidth="1"/>
    <col min="6161" max="6161" width="10.44140625" style="1" bestFit="1" customWidth="1"/>
    <col min="6162" max="6163" width="9.6640625" style="1" customWidth="1"/>
    <col min="6164" max="6405" width="9" style="1"/>
    <col min="6406" max="6406" width="1.6640625" style="1" customWidth="1"/>
    <col min="6407" max="6407" width="7.6640625" style="1" customWidth="1"/>
    <col min="6408" max="6408" width="4.109375" style="1" customWidth="1"/>
    <col min="6409" max="6409" width="9.6640625" style="1" customWidth="1"/>
    <col min="6410" max="6410" width="7.6640625" style="1" customWidth="1"/>
    <col min="6411" max="6411" width="10.44140625" style="1" bestFit="1" customWidth="1"/>
    <col min="6412" max="6413" width="7.6640625" style="1" customWidth="1"/>
    <col min="6414" max="6414" width="10.44140625" style="1" bestFit="1" customWidth="1"/>
    <col min="6415" max="6415" width="9.6640625" style="1" customWidth="1"/>
    <col min="6416" max="6416" width="8.109375" style="1" customWidth="1"/>
    <col min="6417" max="6417" width="10.44140625" style="1" bestFit="1" customWidth="1"/>
    <col min="6418" max="6419" width="9.6640625" style="1" customWidth="1"/>
    <col min="6420" max="6661" width="9" style="1"/>
    <col min="6662" max="6662" width="1.6640625" style="1" customWidth="1"/>
    <col min="6663" max="6663" width="7.6640625" style="1" customWidth="1"/>
    <col min="6664" max="6664" width="4.109375" style="1" customWidth="1"/>
    <col min="6665" max="6665" width="9.6640625" style="1" customWidth="1"/>
    <col min="6666" max="6666" width="7.6640625" style="1" customWidth="1"/>
    <col min="6667" max="6667" width="10.44140625" style="1" bestFit="1" customWidth="1"/>
    <col min="6668" max="6669" width="7.6640625" style="1" customWidth="1"/>
    <col min="6670" max="6670" width="10.44140625" style="1" bestFit="1" customWidth="1"/>
    <col min="6671" max="6671" width="9.6640625" style="1" customWidth="1"/>
    <col min="6672" max="6672" width="8.109375" style="1" customWidth="1"/>
    <col min="6673" max="6673" width="10.44140625" style="1" bestFit="1" customWidth="1"/>
    <col min="6674" max="6675" width="9.6640625" style="1" customWidth="1"/>
    <col min="6676" max="6917" width="9" style="1"/>
    <col min="6918" max="6918" width="1.6640625" style="1" customWidth="1"/>
    <col min="6919" max="6919" width="7.6640625" style="1" customWidth="1"/>
    <col min="6920" max="6920" width="4.109375" style="1" customWidth="1"/>
    <col min="6921" max="6921" width="9.6640625" style="1" customWidth="1"/>
    <col min="6922" max="6922" width="7.6640625" style="1" customWidth="1"/>
    <col min="6923" max="6923" width="10.44140625" style="1" bestFit="1" customWidth="1"/>
    <col min="6924" max="6925" width="7.6640625" style="1" customWidth="1"/>
    <col min="6926" max="6926" width="10.44140625" style="1" bestFit="1" customWidth="1"/>
    <col min="6927" max="6927" width="9.6640625" style="1" customWidth="1"/>
    <col min="6928" max="6928" width="8.109375" style="1" customWidth="1"/>
    <col min="6929" max="6929" width="10.44140625" style="1" bestFit="1" customWidth="1"/>
    <col min="6930" max="6931" width="9.6640625" style="1" customWidth="1"/>
    <col min="6932" max="7173" width="9" style="1"/>
    <col min="7174" max="7174" width="1.6640625" style="1" customWidth="1"/>
    <col min="7175" max="7175" width="7.6640625" style="1" customWidth="1"/>
    <col min="7176" max="7176" width="4.109375" style="1" customWidth="1"/>
    <col min="7177" max="7177" width="9.6640625" style="1" customWidth="1"/>
    <col min="7178" max="7178" width="7.6640625" style="1" customWidth="1"/>
    <col min="7179" max="7179" width="10.44140625" style="1" bestFit="1" customWidth="1"/>
    <col min="7180" max="7181" width="7.6640625" style="1" customWidth="1"/>
    <col min="7182" max="7182" width="10.44140625" style="1" bestFit="1" customWidth="1"/>
    <col min="7183" max="7183" width="9.6640625" style="1" customWidth="1"/>
    <col min="7184" max="7184" width="8.109375" style="1" customWidth="1"/>
    <col min="7185" max="7185" width="10.44140625" style="1" bestFit="1" customWidth="1"/>
    <col min="7186" max="7187" width="9.6640625" style="1" customWidth="1"/>
    <col min="7188" max="7429" width="9" style="1"/>
    <col min="7430" max="7430" width="1.6640625" style="1" customWidth="1"/>
    <col min="7431" max="7431" width="7.6640625" style="1" customWidth="1"/>
    <col min="7432" max="7432" width="4.109375" style="1" customWidth="1"/>
    <col min="7433" max="7433" width="9.6640625" style="1" customWidth="1"/>
    <col min="7434" max="7434" width="7.6640625" style="1" customWidth="1"/>
    <col min="7435" max="7435" width="10.44140625" style="1" bestFit="1" customWidth="1"/>
    <col min="7436" max="7437" width="7.6640625" style="1" customWidth="1"/>
    <col min="7438" max="7438" width="10.44140625" style="1" bestFit="1" customWidth="1"/>
    <col min="7439" max="7439" width="9.6640625" style="1" customWidth="1"/>
    <col min="7440" max="7440" width="8.109375" style="1" customWidth="1"/>
    <col min="7441" max="7441" width="10.44140625" style="1" bestFit="1" customWidth="1"/>
    <col min="7442" max="7443" width="9.6640625" style="1" customWidth="1"/>
    <col min="7444" max="7685" width="9" style="1"/>
    <col min="7686" max="7686" width="1.6640625" style="1" customWidth="1"/>
    <col min="7687" max="7687" width="7.6640625" style="1" customWidth="1"/>
    <col min="7688" max="7688" width="4.109375" style="1" customWidth="1"/>
    <col min="7689" max="7689" width="9.6640625" style="1" customWidth="1"/>
    <col min="7690" max="7690" width="7.6640625" style="1" customWidth="1"/>
    <col min="7691" max="7691" width="10.44140625" style="1" bestFit="1" customWidth="1"/>
    <col min="7692" max="7693" width="7.6640625" style="1" customWidth="1"/>
    <col min="7694" max="7694" width="10.44140625" style="1" bestFit="1" customWidth="1"/>
    <col min="7695" max="7695" width="9.6640625" style="1" customWidth="1"/>
    <col min="7696" max="7696" width="8.109375" style="1" customWidth="1"/>
    <col min="7697" max="7697" width="10.44140625" style="1" bestFit="1" customWidth="1"/>
    <col min="7698" max="7699" width="9.6640625" style="1" customWidth="1"/>
    <col min="7700" max="7941" width="9" style="1"/>
    <col min="7942" max="7942" width="1.6640625" style="1" customWidth="1"/>
    <col min="7943" max="7943" width="7.6640625" style="1" customWidth="1"/>
    <col min="7944" max="7944" width="4.109375" style="1" customWidth="1"/>
    <col min="7945" max="7945" width="9.6640625" style="1" customWidth="1"/>
    <col min="7946" max="7946" width="7.6640625" style="1" customWidth="1"/>
    <col min="7947" max="7947" width="10.44140625" style="1" bestFit="1" customWidth="1"/>
    <col min="7948" max="7949" width="7.6640625" style="1" customWidth="1"/>
    <col min="7950" max="7950" width="10.44140625" style="1" bestFit="1" customWidth="1"/>
    <col min="7951" max="7951" width="9.6640625" style="1" customWidth="1"/>
    <col min="7952" max="7952" width="8.109375" style="1" customWidth="1"/>
    <col min="7953" max="7953" width="10.44140625" style="1" bestFit="1" customWidth="1"/>
    <col min="7954" max="7955" width="9.6640625" style="1" customWidth="1"/>
    <col min="7956" max="8197" width="9" style="1"/>
    <col min="8198" max="8198" width="1.6640625" style="1" customWidth="1"/>
    <col min="8199" max="8199" width="7.6640625" style="1" customWidth="1"/>
    <col min="8200" max="8200" width="4.109375" style="1" customWidth="1"/>
    <col min="8201" max="8201" width="9.6640625" style="1" customWidth="1"/>
    <col min="8202" max="8202" width="7.6640625" style="1" customWidth="1"/>
    <col min="8203" max="8203" width="10.44140625" style="1" bestFit="1" customWidth="1"/>
    <col min="8204" max="8205" width="7.6640625" style="1" customWidth="1"/>
    <col min="8206" max="8206" width="10.44140625" style="1" bestFit="1" customWidth="1"/>
    <col min="8207" max="8207" width="9.6640625" style="1" customWidth="1"/>
    <col min="8208" max="8208" width="8.109375" style="1" customWidth="1"/>
    <col min="8209" max="8209" width="10.44140625" style="1" bestFit="1" customWidth="1"/>
    <col min="8210" max="8211" width="9.6640625" style="1" customWidth="1"/>
    <col min="8212" max="8453" width="9" style="1"/>
    <col min="8454" max="8454" width="1.6640625" style="1" customWidth="1"/>
    <col min="8455" max="8455" width="7.6640625" style="1" customWidth="1"/>
    <col min="8456" max="8456" width="4.109375" style="1" customWidth="1"/>
    <col min="8457" max="8457" width="9.6640625" style="1" customWidth="1"/>
    <col min="8458" max="8458" width="7.6640625" style="1" customWidth="1"/>
    <col min="8459" max="8459" width="10.44140625" style="1" bestFit="1" customWidth="1"/>
    <col min="8460" max="8461" width="7.6640625" style="1" customWidth="1"/>
    <col min="8462" max="8462" width="10.44140625" style="1" bestFit="1" customWidth="1"/>
    <col min="8463" max="8463" width="9.6640625" style="1" customWidth="1"/>
    <col min="8464" max="8464" width="8.109375" style="1" customWidth="1"/>
    <col min="8465" max="8465" width="10.44140625" style="1" bestFit="1" customWidth="1"/>
    <col min="8466" max="8467" width="9.6640625" style="1" customWidth="1"/>
    <col min="8468" max="8709" width="9" style="1"/>
    <col min="8710" max="8710" width="1.6640625" style="1" customWidth="1"/>
    <col min="8711" max="8711" width="7.6640625" style="1" customWidth="1"/>
    <col min="8712" max="8712" width="4.109375" style="1" customWidth="1"/>
    <col min="8713" max="8713" width="9.6640625" style="1" customWidth="1"/>
    <col min="8714" max="8714" width="7.6640625" style="1" customWidth="1"/>
    <col min="8715" max="8715" width="10.44140625" style="1" bestFit="1" customWidth="1"/>
    <col min="8716" max="8717" width="7.6640625" style="1" customWidth="1"/>
    <col min="8718" max="8718" width="10.44140625" style="1" bestFit="1" customWidth="1"/>
    <col min="8719" max="8719" width="9.6640625" style="1" customWidth="1"/>
    <col min="8720" max="8720" width="8.109375" style="1" customWidth="1"/>
    <col min="8721" max="8721" width="10.44140625" style="1" bestFit="1" customWidth="1"/>
    <col min="8722" max="8723" width="9.6640625" style="1" customWidth="1"/>
    <col min="8724" max="8965" width="9" style="1"/>
    <col min="8966" max="8966" width="1.6640625" style="1" customWidth="1"/>
    <col min="8967" max="8967" width="7.6640625" style="1" customWidth="1"/>
    <col min="8968" max="8968" width="4.109375" style="1" customWidth="1"/>
    <col min="8969" max="8969" width="9.6640625" style="1" customWidth="1"/>
    <col min="8970" max="8970" width="7.6640625" style="1" customWidth="1"/>
    <col min="8971" max="8971" width="10.44140625" style="1" bestFit="1" customWidth="1"/>
    <col min="8972" max="8973" width="7.6640625" style="1" customWidth="1"/>
    <col min="8974" max="8974" width="10.44140625" style="1" bestFit="1" customWidth="1"/>
    <col min="8975" max="8975" width="9.6640625" style="1" customWidth="1"/>
    <col min="8976" max="8976" width="8.109375" style="1" customWidth="1"/>
    <col min="8977" max="8977" width="10.44140625" style="1" bestFit="1" customWidth="1"/>
    <col min="8978" max="8979" width="9.6640625" style="1" customWidth="1"/>
    <col min="8980" max="9221" width="9" style="1"/>
    <col min="9222" max="9222" width="1.6640625" style="1" customWidth="1"/>
    <col min="9223" max="9223" width="7.6640625" style="1" customWidth="1"/>
    <col min="9224" max="9224" width="4.109375" style="1" customWidth="1"/>
    <col min="9225" max="9225" width="9.6640625" style="1" customWidth="1"/>
    <col min="9226" max="9226" width="7.6640625" style="1" customWidth="1"/>
    <col min="9227" max="9227" width="10.44140625" style="1" bestFit="1" customWidth="1"/>
    <col min="9228" max="9229" width="7.6640625" style="1" customWidth="1"/>
    <col min="9230" max="9230" width="10.44140625" style="1" bestFit="1" customWidth="1"/>
    <col min="9231" max="9231" width="9.6640625" style="1" customWidth="1"/>
    <col min="9232" max="9232" width="8.109375" style="1" customWidth="1"/>
    <col min="9233" max="9233" width="10.44140625" style="1" bestFit="1" customWidth="1"/>
    <col min="9234" max="9235" width="9.6640625" style="1" customWidth="1"/>
    <col min="9236" max="9477" width="9" style="1"/>
    <col min="9478" max="9478" width="1.6640625" style="1" customWidth="1"/>
    <col min="9479" max="9479" width="7.6640625" style="1" customWidth="1"/>
    <col min="9480" max="9480" width="4.109375" style="1" customWidth="1"/>
    <col min="9481" max="9481" width="9.6640625" style="1" customWidth="1"/>
    <col min="9482" max="9482" width="7.6640625" style="1" customWidth="1"/>
    <col min="9483" max="9483" width="10.44140625" style="1" bestFit="1" customWidth="1"/>
    <col min="9484" max="9485" width="7.6640625" style="1" customWidth="1"/>
    <col min="9486" max="9486" width="10.44140625" style="1" bestFit="1" customWidth="1"/>
    <col min="9487" max="9487" width="9.6640625" style="1" customWidth="1"/>
    <col min="9488" max="9488" width="8.109375" style="1" customWidth="1"/>
    <col min="9489" max="9489" width="10.44140625" style="1" bestFit="1" customWidth="1"/>
    <col min="9490" max="9491" width="9.6640625" style="1" customWidth="1"/>
    <col min="9492" max="9733" width="9" style="1"/>
    <col min="9734" max="9734" width="1.6640625" style="1" customWidth="1"/>
    <col min="9735" max="9735" width="7.6640625" style="1" customWidth="1"/>
    <col min="9736" max="9736" width="4.109375" style="1" customWidth="1"/>
    <col min="9737" max="9737" width="9.6640625" style="1" customWidth="1"/>
    <col min="9738" max="9738" width="7.6640625" style="1" customWidth="1"/>
    <col min="9739" max="9739" width="10.44140625" style="1" bestFit="1" customWidth="1"/>
    <col min="9740" max="9741" width="7.6640625" style="1" customWidth="1"/>
    <col min="9742" max="9742" width="10.44140625" style="1" bestFit="1" customWidth="1"/>
    <col min="9743" max="9743" width="9.6640625" style="1" customWidth="1"/>
    <col min="9744" max="9744" width="8.109375" style="1" customWidth="1"/>
    <col min="9745" max="9745" width="10.44140625" style="1" bestFit="1" customWidth="1"/>
    <col min="9746" max="9747" width="9.6640625" style="1" customWidth="1"/>
    <col min="9748" max="9989" width="9" style="1"/>
    <col min="9990" max="9990" width="1.6640625" style="1" customWidth="1"/>
    <col min="9991" max="9991" width="7.6640625" style="1" customWidth="1"/>
    <col min="9992" max="9992" width="4.109375" style="1" customWidth="1"/>
    <col min="9993" max="9993" width="9.6640625" style="1" customWidth="1"/>
    <col min="9994" max="9994" width="7.6640625" style="1" customWidth="1"/>
    <col min="9995" max="9995" width="10.44140625" style="1" bestFit="1" customWidth="1"/>
    <col min="9996" max="9997" width="7.6640625" style="1" customWidth="1"/>
    <col min="9998" max="9998" width="10.44140625" style="1" bestFit="1" customWidth="1"/>
    <col min="9999" max="9999" width="9.6640625" style="1" customWidth="1"/>
    <col min="10000" max="10000" width="8.109375" style="1" customWidth="1"/>
    <col min="10001" max="10001" width="10.44140625" style="1" bestFit="1" customWidth="1"/>
    <col min="10002" max="10003" width="9.6640625" style="1" customWidth="1"/>
    <col min="10004" max="10245" width="9" style="1"/>
    <col min="10246" max="10246" width="1.6640625" style="1" customWidth="1"/>
    <col min="10247" max="10247" width="7.6640625" style="1" customWidth="1"/>
    <col min="10248" max="10248" width="4.109375" style="1" customWidth="1"/>
    <col min="10249" max="10249" width="9.6640625" style="1" customWidth="1"/>
    <col min="10250" max="10250" width="7.6640625" style="1" customWidth="1"/>
    <col min="10251" max="10251" width="10.44140625" style="1" bestFit="1" customWidth="1"/>
    <col min="10252" max="10253" width="7.6640625" style="1" customWidth="1"/>
    <col min="10254" max="10254" width="10.44140625" style="1" bestFit="1" customWidth="1"/>
    <col min="10255" max="10255" width="9.6640625" style="1" customWidth="1"/>
    <col min="10256" max="10256" width="8.109375" style="1" customWidth="1"/>
    <col min="10257" max="10257" width="10.44140625" style="1" bestFit="1" customWidth="1"/>
    <col min="10258" max="10259" width="9.6640625" style="1" customWidth="1"/>
    <col min="10260" max="10501" width="9" style="1"/>
    <col min="10502" max="10502" width="1.6640625" style="1" customWidth="1"/>
    <col min="10503" max="10503" width="7.6640625" style="1" customWidth="1"/>
    <col min="10504" max="10504" width="4.109375" style="1" customWidth="1"/>
    <col min="10505" max="10505" width="9.6640625" style="1" customWidth="1"/>
    <col min="10506" max="10506" width="7.6640625" style="1" customWidth="1"/>
    <col min="10507" max="10507" width="10.44140625" style="1" bestFit="1" customWidth="1"/>
    <col min="10508" max="10509" width="7.6640625" style="1" customWidth="1"/>
    <col min="10510" max="10510" width="10.44140625" style="1" bestFit="1" customWidth="1"/>
    <col min="10511" max="10511" width="9.6640625" style="1" customWidth="1"/>
    <col min="10512" max="10512" width="8.109375" style="1" customWidth="1"/>
    <col min="10513" max="10513" width="10.44140625" style="1" bestFit="1" customWidth="1"/>
    <col min="10514" max="10515" width="9.6640625" style="1" customWidth="1"/>
    <col min="10516" max="10757" width="9" style="1"/>
    <col min="10758" max="10758" width="1.6640625" style="1" customWidth="1"/>
    <col min="10759" max="10759" width="7.6640625" style="1" customWidth="1"/>
    <col min="10760" max="10760" width="4.109375" style="1" customWidth="1"/>
    <col min="10761" max="10761" width="9.6640625" style="1" customWidth="1"/>
    <col min="10762" max="10762" width="7.6640625" style="1" customWidth="1"/>
    <col min="10763" max="10763" width="10.44140625" style="1" bestFit="1" customWidth="1"/>
    <col min="10764" max="10765" width="7.6640625" style="1" customWidth="1"/>
    <col min="10766" max="10766" width="10.44140625" style="1" bestFit="1" customWidth="1"/>
    <col min="10767" max="10767" width="9.6640625" style="1" customWidth="1"/>
    <col min="10768" max="10768" width="8.109375" style="1" customWidth="1"/>
    <col min="10769" max="10769" width="10.44140625" style="1" bestFit="1" customWidth="1"/>
    <col min="10770" max="10771" width="9.6640625" style="1" customWidth="1"/>
    <col min="10772" max="11013" width="9" style="1"/>
    <col min="11014" max="11014" width="1.6640625" style="1" customWidth="1"/>
    <col min="11015" max="11015" width="7.6640625" style="1" customWidth="1"/>
    <col min="11016" max="11016" width="4.109375" style="1" customWidth="1"/>
    <col min="11017" max="11017" width="9.6640625" style="1" customWidth="1"/>
    <col min="11018" max="11018" width="7.6640625" style="1" customWidth="1"/>
    <col min="11019" max="11019" width="10.44140625" style="1" bestFit="1" customWidth="1"/>
    <col min="11020" max="11021" width="7.6640625" style="1" customWidth="1"/>
    <col min="11022" max="11022" width="10.44140625" style="1" bestFit="1" customWidth="1"/>
    <col min="11023" max="11023" width="9.6640625" style="1" customWidth="1"/>
    <col min="11024" max="11024" width="8.109375" style="1" customWidth="1"/>
    <col min="11025" max="11025" width="10.44140625" style="1" bestFit="1" customWidth="1"/>
    <col min="11026" max="11027" width="9.6640625" style="1" customWidth="1"/>
    <col min="11028" max="11269" width="9" style="1"/>
    <col min="11270" max="11270" width="1.6640625" style="1" customWidth="1"/>
    <col min="11271" max="11271" width="7.6640625" style="1" customWidth="1"/>
    <col min="11272" max="11272" width="4.109375" style="1" customWidth="1"/>
    <col min="11273" max="11273" width="9.6640625" style="1" customWidth="1"/>
    <col min="11274" max="11274" width="7.6640625" style="1" customWidth="1"/>
    <col min="11275" max="11275" width="10.44140625" style="1" bestFit="1" customWidth="1"/>
    <col min="11276" max="11277" width="7.6640625" style="1" customWidth="1"/>
    <col min="11278" max="11278" width="10.44140625" style="1" bestFit="1" customWidth="1"/>
    <col min="11279" max="11279" width="9.6640625" style="1" customWidth="1"/>
    <col min="11280" max="11280" width="8.109375" style="1" customWidth="1"/>
    <col min="11281" max="11281" width="10.44140625" style="1" bestFit="1" customWidth="1"/>
    <col min="11282" max="11283" width="9.6640625" style="1" customWidth="1"/>
    <col min="11284" max="11525" width="9" style="1"/>
    <col min="11526" max="11526" width="1.6640625" style="1" customWidth="1"/>
    <col min="11527" max="11527" width="7.6640625" style="1" customWidth="1"/>
    <col min="11528" max="11528" width="4.109375" style="1" customWidth="1"/>
    <col min="11529" max="11529" width="9.6640625" style="1" customWidth="1"/>
    <col min="11530" max="11530" width="7.6640625" style="1" customWidth="1"/>
    <col min="11531" max="11531" width="10.44140625" style="1" bestFit="1" customWidth="1"/>
    <col min="11532" max="11533" width="7.6640625" style="1" customWidth="1"/>
    <col min="11534" max="11534" width="10.44140625" style="1" bestFit="1" customWidth="1"/>
    <col min="11535" max="11535" width="9.6640625" style="1" customWidth="1"/>
    <col min="11536" max="11536" width="8.109375" style="1" customWidth="1"/>
    <col min="11537" max="11537" width="10.44140625" style="1" bestFit="1" customWidth="1"/>
    <col min="11538" max="11539" width="9.6640625" style="1" customWidth="1"/>
    <col min="11540" max="11781" width="9" style="1"/>
    <col min="11782" max="11782" width="1.6640625" style="1" customWidth="1"/>
    <col min="11783" max="11783" width="7.6640625" style="1" customWidth="1"/>
    <col min="11784" max="11784" width="4.109375" style="1" customWidth="1"/>
    <col min="11785" max="11785" width="9.6640625" style="1" customWidth="1"/>
    <col min="11786" max="11786" width="7.6640625" style="1" customWidth="1"/>
    <col min="11787" max="11787" width="10.44140625" style="1" bestFit="1" customWidth="1"/>
    <col min="11788" max="11789" width="7.6640625" style="1" customWidth="1"/>
    <col min="11790" max="11790" width="10.44140625" style="1" bestFit="1" customWidth="1"/>
    <col min="11791" max="11791" width="9.6640625" style="1" customWidth="1"/>
    <col min="11792" max="11792" width="8.109375" style="1" customWidth="1"/>
    <col min="11793" max="11793" width="10.44140625" style="1" bestFit="1" customWidth="1"/>
    <col min="11794" max="11795" width="9.6640625" style="1" customWidth="1"/>
    <col min="11796" max="12037" width="9" style="1"/>
    <col min="12038" max="12038" width="1.6640625" style="1" customWidth="1"/>
    <col min="12039" max="12039" width="7.6640625" style="1" customWidth="1"/>
    <col min="12040" max="12040" width="4.109375" style="1" customWidth="1"/>
    <col min="12041" max="12041" width="9.6640625" style="1" customWidth="1"/>
    <col min="12042" max="12042" width="7.6640625" style="1" customWidth="1"/>
    <col min="12043" max="12043" width="10.44140625" style="1" bestFit="1" customWidth="1"/>
    <col min="12044" max="12045" width="7.6640625" style="1" customWidth="1"/>
    <col min="12046" max="12046" width="10.44140625" style="1" bestFit="1" customWidth="1"/>
    <col min="12047" max="12047" width="9.6640625" style="1" customWidth="1"/>
    <col min="12048" max="12048" width="8.109375" style="1" customWidth="1"/>
    <col min="12049" max="12049" width="10.44140625" style="1" bestFit="1" customWidth="1"/>
    <col min="12050" max="12051" width="9.6640625" style="1" customWidth="1"/>
    <col min="12052" max="12293" width="9" style="1"/>
    <col min="12294" max="12294" width="1.6640625" style="1" customWidth="1"/>
    <col min="12295" max="12295" width="7.6640625" style="1" customWidth="1"/>
    <col min="12296" max="12296" width="4.109375" style="1" customWidth="1"/>
    <col min="12297" max="12297" width="9.6640625" style="1" customWidth="1"/>
    <col min="12298" max="12298" width="7.6640625" style="1" customWidth="1"/>
    <col min="12299" max="12299" width="10.44140625" style="1" bestFit="1" customWidth="1"/>
    <col min="12300" max="12301" width="7.6640625" style="1" customWidth="1"/>
    <col min="12302" max="12302" width="10.44140625" style="1" bestFit="1" customWidth="1"/>
    <col min="12303" max="12303" width="9.6640625" style="1" customWidth="1"/>
    <col min="12304" max="12304" width="8.109375" style="1" customWidth="1"/>
    <col min="12305" max="12305" width="10.44140625" style="1" bestFit="1" customWidth="1"/>
    <col min="12306" max="12307" width="9.6640625" style="1" customWidth="1"/>
    <col min="12308" max="12549" width="9" style="1"/>
    <col min="12550" max="12550" width="1.6640625" style="1" customWidth="1"/>
    <col min="12551" max="12551" width="7.6640625" style="1" customWidth="1"/>
    <col min="12552" max="12552" width="4.109375" style="1" customWidth="1"/>
    <col min="12553" max="12553" width="9.6640625" style="1" customWidth="1"/>
    <col min="12554" max="12554" width="7.6640625" style="1" customWidth="1"/>
    <col min="12555" max="12555" width="10.44140625" style="1" bestFit="1" customWidth="1"/>
    <col min="12556" max="12557" width="7.6640625" style="1" customWidth="1"/>
    <col min="12558" max="12558" width="10.44140625" style="1" bestFit="1" customWidth="1"/>
    <col min="12559" max="12559" width="9.6640625" style="1" customWidth="1"/>
    <col min="12560" max="12560" width="8.109375" style="1" customWidth="1"/>
    <col min="12561" max="12561" width="10.44140625" style="1" bestFit="1" customWidth="1"/>
    <col min="12562" max="12563" width="9.6640625" style="1" customWidth="1"/>
    <col min="12564" max="12805" width="9" style="1"/>
    <col min="12806" max="12806" width="1.6640625" style="1" customWidth="1"/>
    <col min="12807" max="12807" width="7.6640625" style="1" customWidth="1"/>
    <col min="12808" max="12808" width="4.109375" style="1" customWidth="1"/>
    <col min="12809" max="12809" width="9.6640625" style="1" customWidth="1"/>
    <col min="12810" max="12810" width="7.6640625" style="1" customWidth="1"/>
    <col min="12811" max="12811" width="10.44140625" style="1" bestFit="1" customWidth="1"/>
    <col min="12812" max="12813" width="7.6640625" style="1" customWidth="1"/>
    <col min="12814" max="12814" width="10.44140625" style="1" bestFit="1" customWidth="1"/>
    <col min="12815" max="12815" width="9.6640625" style="1" customWidth="1"/>
    <col min="12816" max="12816" width="8.109375" style="1" customWidth="1"/>
    <col min="12817" max="12817" width="10.44140625" style="1" bestFit="1" customWidth="1"/>
    <col min="12818" max="12819" width="9.6640625" style="1" customWidth="1"/>
    <col min="12820" max="13061" width="9" style="1"/>
    <col min="13062" max="13062" width="1.6640625" style="1" customWidth="1"/>
    <col min="13063" max="13063" width="7.6640625" style="1" customWidth="1"/>
    <col min="13064" max="13064" width="4.109375" style="1" customWidth="1"/>
    <col min="13065" max="13065" width="9.6640625" style="1" customWidth="1"/>
    <col min="13066" max="13066" width="7.6640625" style="1" customWidth="1"/>
    <col min="13067" max="13067" width="10.44140625" style="1" bestFit="1" customWidth="1"/>
    <col min="13068" max="13069" width="7.6640625" style="1" customWidth="1"/>
    <col min="13070" max="13070" width="10.44140625" style="1" bestFit="1" customWidth="1"/>
    <col min="13071" max="13071" width="9.6640625" style="1" customWidth="1"/>
    <col min="13072" max="13072" width="8.109375" style="1" customWidth="1"/>
    <col min="13073" max="13073" width="10.44140625" style="1" bestFit="1" customWidth="1"/>
    <col min="13074" max="13075" width="9.6640625" style="1" customWidth="1"/>
    <col min="13076" max="13317" width="9" style="1"/>
    <col min="13318" max="13318" width="1.6640625" style="1" customWidth="1"/>
    <col min="13319" max="13319" width="7.6640625" style="1" customWidth="1"/>
    <col min="13320" max="13320" width="4.109375" style="1" customWidth="1"/>
    <col min="13321" max="13321" width="9.6640625" style="1" customWidth="1"/>
    <col min="13322" max="13322" width="7.6640625" style="1" customWidth="1"/>
    <col min="13323" max="13323" width="10.44140625" style="1" bestFit="1" customWidth="1"/>
    <col min="13324" max="13325" width="7.6640625" style="1" customWidth="1"/>
    <col min="13326" max="13326" width="10.44140625" style="1" bestFit="1" customWidth="1"/>
    <col min="13327" max="13327" width="9.6640625" style="1" customWidth="1"/>
    <col min="13328" max="13328" width="8.109375" style="1" customWidth="1"/>
    <col min="13329" max="13329" width="10.44140625" style="1" bestFit="1" customWidth="1"/>
    <col min="13330" max="13331" width="9.6640625" style="1" customWidth="1"/>
    <col min="13332" max="13573" width="9" style="1"/>
    <col min="13574" max="13574" width="1.6640625" style="1" customWidth="1"/>
    <col min="13575" max="13575" width="7.6640625" style="1" customWidth="1"/>
    <col min="13576" max="13576" width="4.109375" style="1" customWidth="1"/>
    <col min="13577" max="13577" width="9.6640625" style="1" customWidth="1"/>
    <col min="13578" max="13578" width="7.6640625" style="1" customWidth="1"/>
    <col min="13579" max="13579" width="10.44140625" style="1" bestFit="1" customWidth="1"/>
    <col min="13580" max="13581" width="7.6640625" style="1" customWidth="1"/>
    <col min="13582" max="13582" width="10.44140625" style="1" bestFit="1" customWidth="1"/>
    <col min="13583" max="13583" width="9.6640625" style="1" customWidth="1"/>
    <col min="13584" max="13584" width="8.109375" style="1" customWidth="1"/>
    <col min="13585" max="13585" width="10.44140625" style="1" bestFit="1" customWidth="1"/>
    <col min="13586" max="13587" width="9.6640625" style="1" customWidth="1"/>
    <col min="13588" max="13829" width="9" style="1"/>
    <col min="13830" max="13830" width="1.6640625" style="1" customWidth="1"/>
    <col min="13831" max="13831" width="7.6640625" style="1" customWidth="1"/>
    <col min="13832" max="13832" width="4.109375" style="1" customWidth="1"/>
    <col min="13833" max="13833" width="9.6640625" style="1" customWidth="1"/>
    <col min="13834" max="13834" width="7.6640625" style="1" customWidth="1"/>
    <col min="13835" max="13835" width="10.44140625" style="1" bestFit="1" customWidth="1"/>
    <col min="13836" max="13837" width="7.6640625" style="1" customWidth="1"/>
    <col min="13838" max="13838" width="10.44140625" style="1" bestFit="1" customWidth="1"/>
    <col min="13839" max="13839" width="9.6640625" style="1" customWidth="1"/>
    <col min="13840" max="13840" width="8.109375" style="1" customWidth="1"/>
    <col min="13841" max="13841" width="10.44140625" style="1" bestFit="1" customWidth="1"/>
    <col min="13842" max="13843" width="9.6640625" style="1" customWidth="1"/>
    <col min="13844" max="14085" width="9" style="1"/>
    <col min="14086" max="14086" width="1.6640625" style="1" customWidth="1"/>
    <col min="14087" max="14087" width="7.6640625" style="1" customWidth="1"/>
    <col min="14088" max="14088" width="4.109375" style="1" customWidth="1"/>
    <col min="14089" max="14089" width="9.6640625" style="1" customWidth="1"/>
    <col min="14090" max="14090" width="7.6640625" style="1" customWidth="1"/>
    <col min="14091" max="14091" width="10.44140625" style="1" bestFit="1" customWidth="1"/>
    <col min="14092" max="14093" width="7.6640625" style="1" customWidth="1"/>
    <col min="14094" max="14094" width="10.44140625" style="1" bestFit="1" customWidth="1"/>
    <col min="14095" max="14095" width="9.6640625" style="1" customWidth="1"/>
    <col min="14096" max="14096" width="8.109375" style="1" customWidth="1"/>
    <col min="14097" max="14097" width="10.44140625" style="1" bestFit="1" customWidth="1"/>
    <col min="14098" max="14099" width="9.6640625" style="1" customWidth="1"/>
    <col min="14100" max="14341" width="9" style="1"/>
    <col min="14342" max="14342" width="1.6640625" style="1" customWidth="1"/>
    <col min="14343" max="14343" width="7.6640625" style="1" customWidth="1"/>
    <col min="14344" max="14344" width="4.109375" style="1" customWidth="1"/>
    <col min="14345" max="14345" width="9.6640625" style="1" customWidth="1"/>
    <col min="14346" max="14346" width="7.6640625" style="1" customWidth="1"/>
    <col min="14347" max="14347" width="10.44140625" style="1" bestFit="1" customWidth="1"/>
    <col min="14348" max="14349" width="7.6640625" style="1" customWidth="1"/>
    <col min="14350" max="14350" width="10.44140625" style="1" bestFit="1" customWidth="1"/>
    <col min="14351" max="14351" width="9.6640625" style="1" customWidth="1"/>
    <col min="14352" max="14352" width="8.109375" style="1" customWidth="1"/>
    <col min="14353" max="14353" width="10.44140625" style="1" bestFit="1" customWidth="1"/>
    <col min="14354" max="14355" width="9.6640625" style="1" customWidth="1"/>
    <col min="14356" max="14597" width="9" style="1"/>
    <col min="14598" max="14598" width="1.6640625" style="1" customWidth="1"/>
    <col min="14599" max="14599" width="7.6640625" style="1" customWidth="1"/>
    <col min="14600" max="14600" width="4.109375" style="1" customWidth="1"/>
    <col min="14601" max="14601" width="9.6640625" style="1" customWidth="1"/>
    <col min="14602" max="14602" width="7.6640625" style="1" customWidth="1"/>
    <col min="14603" max="14603" width="10.44140625" style="1" bestFit="1" customWidth="1"/>
    <col min="14604" max="14605" width="7.6640625" style="1" customWidth="1"/>
    <col min="14606" max="14606" width="10.44140625" style="1" bestFit="1" customWidth="1"/>
    <col min="14607" max="14607" width="9.6640625" style="1" customWidth="1"/>
    <col min="14608" max="14608" width="8.109375" style="1" customWidth="1"/>
    <col min="14609" max="14609" width="10.44140625" style="1" bestFit="1" customWidth="1"/>
    <col min="14610" max="14611" width="9.6640625" style="1" customWidth="1"/>
    <col min="14612" max="14853" width="9" style="1"/>
    <col min="14854" max="14854" width="1.6640625" style="1" customWidth="1"/>
    <col min="14855" max="14855" width="7.6640625" style="1" customWidth="1"/>
    <col min="14856" max="14856" width="4.109375" style="1" customWidth="1"/>
    <col min="14857" max="14857" width="9.6640625" style="1" customWidth="1"/>
    <col min="14858" max="14858" width="7.6640625" style="1" customWidth="1"/>
    <col min="14859" max="14859" width="10.44140625" style="1" bestFit="1" customWidth="1"/>
    <col min="14860" max="14861" width="7.6640625" style="1" customWidth="1"/>
    <col min="14862" max="14862" width="10.44140625" style="1" bestFit="1" customWidth="1"/>
    <col min="14863" max="14863" width="9.6640625" style="1" customWidth="1"/>
    <col min="14864" max="14864" width="8.109375" style="1" customWidth="1"/>
    <col min="14865" max="14865" width="10.44140625" style="1" bestFit="1" customWidth="1"/>
    <col min="14866" max="14867" width="9.6640625" style="1" customWidth="1"/>
    <col min="14868" max="15109" width="9" style="1"/>
    <col min="15110" max="15110" width="1.6640625" style="1" customWidth="1"/>
    <col min="15111" max="15111" width="7.6640625" style="1" customWidth="1"/>
    <col min="15112" max="15112" width="4.109375" style="1" customWidth="1"/>
    <col min="15113" max="15113" width="9.6640625" style="1" customWidth="1"/>
    <col min="15114" max="15114" width="7.6640625" style="1" customWidth="1"/>
    <col min="15115" max="15115" width="10.44140625" style="1" bestFit="1" customWidth="1"/>
    <col min="15116" max="15117" width="7.6640625" style="1" customWidth="1"/>
    <col min="15118" max="15118" width="10.44140625" style="1" bestFit="1" customWidth="1"/>
    <col min="15119" max="15119" width="9.6640625" style="1" customWidth="1"/>
    <col min="15120" max="15120" width="8.109375" style="1" customWidth="1"/>
    <col min="15121" max="15121" width="10.44140625" style="1" bestFit="1" customWidth="1"/>
    <col min="15122" max="15123" width="9.6640625" style="1" customWidth="1"/>
    <col min="15124" max="15365" width="9" style="1"/>
    <col min="15366" max="15366" width="1.6640625" style="1" customWidth="1"/>
    <col min="15367" max="15367" width="7.6640625" style="1" customWidth="1"/>
    <col min="15368" max="15368" width="4.109375" style="1" customWidth="1"/>
    <col min="15369" max="15369" width="9.6640625" style="1" customWidth="1"/>
    <col min="15370" max="15370" width="7.6640625" style="1" customWidth="1"/>
    <col min="15371" max="15371" width="10.44140625" style="1" bestFit="1" customWidth="1"/>
    <col min="15372" max="15373" width="7.6640625" style="1" customWidth="1"/>
    <col min="15374" max="15374" width="10.44140625" style="1" bestFit="1" customWidth="1"/>
    <col min="15375" max="15375" width="9.6640625" style="1" customWidth="1"/>
    <col min="15376" max="15376" width="8.109375" style="1" customWidth="1"/>
    <col min="15377" max="15377" width="10.44140625" style="1" bestFit="1" customWidth="1"/>
    <col min="15378" max="15379" width="9.6640625" style="1" customWidth="1"/>
    <col min="15380" max="15621" width="9" style="1"/>
    <col min="15622" max="15622" width="1.6640625" style="1" customWidth="1"/>
    <col min="15623" max="15623" width="7.6640625" style="1" customWidth="1"/>
    <col min="15624" max="15624" width="4.109375" style="1" customWidth="1"/>
    <col min="15625" max="15625" width="9.6640625" style="1" customWidth="1"/>
    <col min="15626" max="15626" width="7.6640625" style="1" customWidth="1"/>
    <col min="15627" max="15627" width="10.44140625" style="1" bestFit="1" customWidth="1"/>
    <col min="15628" max="15629" width="7.6640625" style="1" customWidth="1"/>
    <col min="15630" max="15630" width="10.44140625" style="1" bestFit="1" customWidth="1"/>
    <col min="15631" max="15631" width="9.6640625" style="1" customWidth="1"/>
    <col min="15632" max="15632" width="8.109375" style="1" customWidth="1"/>
    <col min="15633" max="15633" width="10.44140625" style="1" bestFit="1" customWidth="1"/>
    <col min="15634" max="15635" width="9.6640625" style="1" customWidth="1"/>
    <col min="15636" max="15877" width="9" style="1"/>
    <col min="15878" max="15878" width="1.6640625" style="1" customWidth="1"/>
    <col min="15879" max="15879" width="7.6640625" style="1" customWidth="1"/>
    <col min="15880" max="15880" width="4.109375" style="1" customWidth="1"/>
    <col min="15881" max="15881" width="9.6640625" style="1" customWidth="1"/>
    <col min="15882" max="15882" width="7.6640625" style="1" customWidth="1"/>
    <col min="15883" max="15883" width="10.44140625" style="1" bestFit="1" customWidth="1"/>
    <col min="15884" max="15885" width="7.6640625" style="1" customWidth="1"/>
    <col min="15886" max="15886" width="10.44140625" style="1" bestFit="1" customWidth="1"/>
    <col min="15887" max="15887" width="9.6640625" style="1" customWidth="1"/>
    <col min="15888" max="15888" width="8.109375" style="1" customWidth="1"/>
    <col min="15889" max="15889" width="10.44140625" style="1" bestFit="1" customWidth="1"/>
    <col min="15890" max="15891" width="9.6640625" style="1" customWidth="1"/>
    <col min="15892" max="16133" width="9" style="1"/>
    <col min="16134" max="16134" width="1.6640625" style="1" customWidth="1"/>
    <col min="16135" max="16135" width="7.6640625" style="1" customWidth="1"/>
    <col min="16136" max="16136" width="4.109375" style="1" customWidth="1"/>
    <col min="16137" max="16137" width="9.6640625" style="1" customWidth="1"/>
    <col min="16138" max="16138" width="7.6640625" style="1" customWidth="1"/>
    <col min="16139" max="16139" width="10.44140625" style="1" bestFit="1" customWidth="1"/>
    <col min="16140" max="16141" width="7.6640625" style="1" customWidth="1"/>
    <col min="16142" max="16142" width="10.44140625" style="1" bestFit="1" customWidth="1"/>
    <col min="16143" max="16143" width="9.6640625" style="1" customWidth="1"/>
    <col min="16144" max="16144" width="8.109375" style="1" customWidth="1"/>
    <col min="16145" max="16145" width="10.44140625" style="1" bestFit="1" customWidth="1"/>
    <col min="16146" max="16147" width="9.6640625" style="1" customWidth="1"/>
    <col min="16148" max="16384" width="9" style="1"/>
  </cols>
  <sheetData>
    <row r="1" spans="1:25" x14ac:dyDescent="0.3">
      <c r="A1" s="48" t="str">
        <f>MID(B3,SEARCH("(",B3)+1,LEN(B3)-SEARCH("(",B3)-1)</f>
        <v>초등 교사</v>
      </c>
    </row>
    <row r="2" spans="1:25" ht="5.95" customHeight="1" x14ac:dyDescent="0.3"/>
    <row r="3" spans="1:25" ht="40.450000000000003" customHeight="1" x14ac:dyDescent="0.3">
      <c r="B3" s="133" t="s">
        <v>225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25" ht="26.35" customHeight="1" thickBot="1" x14ac:dyDescent="0.35">
      <c r="B4" s="2"/>
      <c r="C4" s="3"/>
      <c r="D4" s="3"/>
      <c r="E4" s="3"/>
      <c r="F4" s="3"/>
      <c r="G4" s="3"/>
      <c r="H4" s="3"/>
      <c r="I4" s="3"/>
      <c r="J4" s="134" t="str">
        <f>IF(D7="이천","원동초등학교장",IF(D7="양산교육지원청","양산교육지원청교육장",D7&amp;"초등학교장"))</f>
        <v>초등학교장</v>
      </c>
      <c r="K4" s="134"/>
      <c r="L4" s="134"/>
      <c r="M4" s="134"/>
      <c r="N4" s="134"/>
      <c r="O4" s="134"/>
      <c r="P4" s="134"/>
      <c r="Q4" s="134"/>
      <c r="R4" s="162"/>
      <c r="S4" s="162"/>
    </row>
    <row r="5" spans="1:25" ht="26.35" customHeight="1" x14ac:dyDescent="0.3">
      <c r="B5" s="163" t="s">
        <v>0</v>
      </c>
      <c r="C5" s="87"/>
      <c r="D5" s="164"/>
      <c r="E5" s="164"/>
      <c r="F5" s="69" t="s">
        <v>1</v>
      </c>
      <c r="G5" s="71"/>
      <c r="H5" s="165"/>
      <c r="I5" s="166"/>
      <c r="J5" s="167"/>
      <c r="K5" s="69" t="s">
        <v>2</v>
      </c>
      <c r="L5" s="71"/>
      <c r="M5" s="164"/>
      <c r="N5" s="164"/>
      <c r="O5" s="42" t="s">
        <v>3</v>
      </c>
      <c r="P5" s="164"/>
      <c r="Q5" s="168"/>
      <c r="T5" s="1">
        <f>IF(ISNUMBER(LEFT(S5,2)), 1, 0)</f>
        <v>0</v>
      </c>
    </row>
    <row r="6" spans="1:25" ht="32.1" customHeight="1" x14ac:dyDescent="0.3">
      <c r="B6" s="135" t="s">
        <v>4</v>
      </c>
      <c r="C6" s="136"/>
      <c r="D6" s="161"/>
      <c r="E6" s="161"/>
      <c r="F6" s="145" t="s">
        <v>5</v>
      </c>
      <c r="G6" s="145"/>
      <c r="H6" s="161"/>
      <c r="I6" s="161"/>
      <c r="J6" s="161"/>
      <c r="K6" s="145" t="s">
        <v>6</v>
      </c>
      <c r="L6" s="145"/>
      <c r="M6" s="161"/>
      <c r="N6" s="161"/>
      <c r="O6" s="41" t="s">
        <v>177</v>
      </c>
      <c r="P6" s="159" t="str">
        <f>IF(AND(H5=AB99,D5=AA100),Q12+P18,"")</f>
        <v/>
      </c>
      <c r="Q6" s="160"/>
    </row>
    <row r="7" spans="1:25" ht="26.35" customHeight="1" x14ac:dyDescent="0.3">
      <c r="B7" s="135" t="s">
        <v>224</v>
      </c>
      <c r="C7" s="136"/>
      <c r="D7" s="156"/>
      <c r="E7" s="157"/>
      <c r="F7" s="136" t="s">
        <v>7</v>
      </c>
      <c r="G7" s="136"/>
      <c r="H7" s="157"/>
      <c r="I7" s="157"/>
      <c r="J7" s="158"/>
      <c r="K7" s="95" t="s">
        <v>8</v>
      </c>
      <c r="L7" s="96"/>
      <c r="M7" s="161"/>
      <c r="N7" s="161"/>
      <c r="O7" s="40" t="s">
        <v>9</v>
      </c>
      <c r="P7" s="169"/>
      <c r="Q7" s="170"/>
    </row>
    <row r="8" spans="1:25" ht="26.35" customHeight="1" x14ac:dyDescent="0.3">
      <c r="B8" s="171" t="s">
        <v>10</v>
      </c>
      <c r="C8" s="145"/>
      <c r="D8" s="161"/>
      <c r="E8" s="161"/>
      <c r="F8" s="145" t="s">
        <v>11</v>
      </c>
      <c r="G8" s="145"/>
      <c r="H8" s="68"/>
      <c r="I8" s="68"/>
      <c r="J8" s="68"/>
      <c r="K8" s="145" t="s">
        <v>12</v>
      </c>
      <c r="L8" s="145"/>
      <c r="M8" s="68"/>
      <c r="N8" s="68"/>
      <c r="O8" s="39" t="s">
        <v>13</v>
      </c>
      <c r="P8" s="169"/>
      <c r="Q8" s="170"/>
      <c r="U8" s="4"/>
    </row>
    <row r="9" spans="1:25" ht="26.35" customHeight="1" x14ac:dyDescent="0.3">
      <c r="B9" s="135" t="s">
        <v>14</v>
      </c>
      <c r="C9" s="136"/>
      <c r="D9" s="139">
        <f>IF(ISERR(Q12+P18),"",IF(H5=AB99, Q12+P18+P33,Q12+P18))</f>
        <v>0</v>
      </c>
      <c r="E9" s="136" t="s">
        <v>15</v>
      </c>
      <c r="F9" s="136"/>
      <c r="G9" s="136"/>
      <c r="H9" s="95" t="s">
        <v>16</v>
      </c>
      <c r="I9" s="141"/>
      <c r="J9" s="96"/>
      <c r="K9" s="142" t="s">
        <v>17</v>
      </c>
      <c r="L9" s="143"/>
      <c r="M9" s="144"/>
      <c r="N9" s="145" t="s">
        <v>18</v>
      </c>
      <c r="O9" s="145"/>
      <c r="P9" s="96" t="s">
        <v>19</v>
      </c>
      <c r="Q9" s="146"/>
    </row>
    <row r="10" spans="1:25" ht="26.35" customHeight="1" thickBot="1" x14ac:dyDescent="0.35">
      <c r="B10" s="137"/>
      <c r="C10" s="138"/>
      <c r="D10" s="140"/>
      <c r="E10" s="138"/>
      <c r="F10" s="138"/>
      <c r="G10" s="138"/>
      <c r="H10" s="147"/>
      <c r="I10" s="148"/>
      <c r="J10" s="149"/>
      <c r="K10" s="150">
        <f>IF(ISERR(Q12),"",Q12)</f>
        <v>0</v>
      </c>
      <c r="L10" s="151"/>
      <c r="M10" s="152"/>
      <c r="N10" s="153"/>
      <c r="O10" s="153"/>
      <c r="P10" s="154"/>
      <c r="Q10" s="155"/>
      <c r="R10" s="5"/>
    </row>
    <row r="11" spans="1:25" ht="26.35" customHeight="1" x14ac:dyDescent="0.3">
      <c r="B11" s="85" t="s">
        <v>20</v>
      </c>
      <c r="C11" s="63" t="s">
        <v>21</v>
      </c>
      <c r="D11" s="63"/>
      <c r="E11" s="63" t="s">
        <v>22</v>
      </c>
      <c r="F11" s="63"/>
      <c r="G11" s="63"/>
      <c r="H11" s="69" t="s">
        <v>23</v>
      </c>
      <c r="I11" s="70"/>
      <c r="J11" s="70"/>
      <c r="K11" s="70"/>
      <c r="L11" s="71"/>
      <c r="M11" s="87" t="s">
        <v>24</v>
      </c>
      <c r="N11" s="87"/>
      <c r="O11" s="43" t="s">
        <v>25</v>
      </c>
      <c r="P11" s="43" t="s">
        <v>26</v>
      </c>
      <c r="Q11" s="44" t="s">
        <v>27</v>
      </c>
    </row>
    <row r="12" spans="1:25" ht="26.35" customHeight="1" x14ac:dyDescent="0.3">
      <c r="B12" s="86"/>
      <c r="C12" s="172" t="s">
        <v>28</v>
      </c>
      <c r="D12" s="173"/>
      <c r="E12" s="68"/>
      <c r="F12" s="68"/>
      <c r="G12" s="68"/>
      <c r="H12" s="82"/>
      <c r="I12" s="83"/>
      <c r="J12" s="83"/>
      <c r="K12" s="83"/>
      <c r="L12" s="84"/>
      <c r="M12" s="67"/>
      <c r="N12" s="67"/>
      <c r="O12" s="7"/>
      <c r="P12" s="24"/>
      <c r="Q12" s="72">
        <f>IF(ISERR(SUM(P12:P16)),"",SUM(P12:P16))</f>
        <v>0</v>
      </c>
      <c r="S12" s="1" t="e">
        <f>VALUE(MID(M12,3,LEN(M12)-3))</f>
        <v>#VALUE!</v>
      </c>
      <c r="T12" s="11">
        <f xml:space="preserve"> INT(O12)</f>
        <v>0</v>
      </c>
      <c r="U12" s="11">
        <f>ROUND(O12-INT(O12),2)</f>
        <v>0</v>
      </c>
      <c r="V12" s="1" t="e">
        <f>(S12=6)*((U12=0.01)*0.5+(U12=0.02)*1+(U12=0.03)*1.5+(U12=0.04)*2+(U12=0.05)*2.5+(U12=0.06)*3+(U12=0.07)*3.5+(U12=0.08)*4+(U12=0.09)*4.5+(U12=0.1)*5+(U12=0.11)*5.5)</f>
        <v>#VALUE!</v>
      </c>
      <c r="W12" s="1" t="e">
        <f>(S12=7)*((U12=0.01)*0.58+(U12=0.02)*1.17+(U12=0.03)*1.75+(U12=0.04)*2.33+(U12=0.05)*2.92+(U12=0.06)*3.5+(U12=0.07)*4.08+(U12=0.08)*4.67+(U12=0.09)*5.25+(U12=0.1)*5.83+(U12=0.11)*6.42)</f>
        <v>#VALUE!</v>
      </c>
      <c r="X12" s="1" t="e">
        <f>(S12=8)*((U12=0.01)*0.67+(U12=0.02)*1.33+(U12=0.03)*2+(U12=0.04)*2.67+(U12=0.05)*3.33+(U12=0.06)*4+(U12=0.07)*4.67+(U12=0.08)*5.33+(U12=0.09)*6+(U12=0.1)*6.67+(U12=0.11)*7.33)</f>
        <v>#VALUE!</v>
      </c>
      <c r="Y12" s="1" t="e">
        <f>S12/12*U12*100</f>
        <v>#VALUE!</v>
      </c>
    </row>
    <row r="13" spans="1:25" ht="26.35" customHeight="1" x14ac:dyDescent="0.3">
      <c r="B13" s="86"/>
      <c r="C13" s="174"/>
      <c r="D13" s="175"/>
      <c r="E13" s="68"/>
      <c r="F13" s="68"/>
      <c r="G13" s="68"/>
      <c r="H13" s="82"/>
      <c r="I13" s="83"/>
      <c r="J13" s="83"/>
      <c r="K13" s="83"/>
      <c r="L13" s="84"/>
      <c r="M13" s="67"/>
      <c r="N13" s="67"/>
      <c r="O13" s="7"/>
      <c r="P13" s="24"/>
      <c r="Q13" s="73"/>
      <c r="S13" s="1" t="e">
        <f>VALUE(MID(M13,3,LEN(M13)-3))</f>
        <v>#VALUE!</v>
      </c>
      <c r="T13" s="11">
        <f xml:space="preserve"> INT(O13)</f>
        <v>0</v>
      </c>
      <c r="U13" s="11">
        <f>ROUND(O13-INT(O13),2)</f>
        <v>0</v>
      </c>
      <c r="V13" s="1" t="e">
        <f>(S13=6)*((U13=0.01)*0.5+(U13=0.02)*1+(U13=0.03)*1.5+(U13=0.04)*2+(U13=0.05)*2.5+(U13=0.06)*3+(U13=0.07)*3.5+(U13=0.08)*4+(U13=0.09)*4.5+(U13=0.1)*5+(U13=0.11)*5.5)</f>
        <v>#VALUE!</v>
      </c>
      <c r="W13" s="1" t="e">
        <f>(S13=7)*((U13=0.01)*0.58+(U13=0.02)*1.17+(U13=0.03)*1.75+(U13=0.04)*2.33+(U13=0.05)*2.92+(U13=0.06)*3.5+(U13=0.07)*4.08+(U13=0.08)*4.67+(U13=0.09)*5.25+(U13=0.1)*5.83+(U13=0.11)*6.42)</f>
        <v>#VALUE!</v>
      </c>
      <c r="X13" s="1" t="e">
        <f>(S13=8)*((U13=0.01)*0.67+(U13=0.02)*1.33+(U13=0.03)*2+(U13=0.04)*2.67+(U13=0.05)*3.33+(U13=0.06)*4+(U13=0.07)*4.67+(U13=0.08)*5.33+(U13=0.09)*6+(U13=0.1)*6.67+(U13=0.11)*7.33)</f>
        <v>#VALUE!</v>
      </c>
      <c r="Y13" s="1" t="e">
        <f>S13/12*U13*100</f>
        <v>#VALUE!</v>
      </c>
    </row>
    <row r="14" spans="1:25" ht="26.35" customHeight="1" x14ac:dyDescent="0.3">
      <c r="B14" s="86"/>
      <c r="C14" s="174"/>
      <c r="D14" s="175"/>
      <c r="E14" s="68"/>
      <c r="F14" s="68"/>
      <c r="G14" s="68"/>
      <c r="H14" s="82"/>
      <c r="I14" s="83"/>
      <c r="J14" s="83"/>
      <c r="K14" s="83"/>
      <c r="L14" s="84"/>
      <c r="M14" s="67"/>
      <c r="N14" s="67"/>
      <c r="O14" s="7"/>
      <c r="P14" s="24"/>
      <c r="Q14" s="73"/>
      <c r="S14" s="1" t="e">
        <f>VALUE(MID(M14,3,LEN(M14)-3))</f>
        <v>#VALUE!</v>
      </c>
      <c r="T14" s="11">
        <f xml:space="preserve"> INT(O14)</f>
        <v>0</v>
      </c>
      <c r="U14" s="11">
        <f>ROUND(O14-INT(O14),2)</f>
        <v>0</v>
      </c>
      <c r="V14" s="1" t="e">
        <f>(S14=6)*((U14=0.01)*0.5+(U14=0.02)*1+(U14=0.03)*1.5+(U14=0.04)*2+(U14=0.05)*2.5+(U14=0.06)*3+(U14=0.07)*3.5+(U14=0.08)*4+(U14=0.09)*4.5+(U14=0.1)*5+(U14=0.11)*5.5)</f>
        <v>#VALUE!</v>
      </c>
      <c r="W14" s="1" t="e">
        <f>(S14=7)*((U14=0.01)*0.58+(U14=0.02)*1.17+(U14=0.03)*1.75+(U14=0.04)*2.33+(U14=0.05)*2.92+(U14=0.06)*3.5+(U14=0.07)*4.08+(U14=0.08)*4.67+(U14=0.09)*5.25+(U14=0.1)*5.83+(U14=0.11)*6.42)</f>
        <v>#VALUE!</v>
      </c>
      <c r="X14" s="1" t="e">
        <f>(S14=8)*((U14=0.01)*0.67+(U14=0.02)*1.33+(U14=0.03)*2+(U14=0.04)*2.67+(U14=0.05)*3.33+(U14=0.06)*4+(U14=0.07)*4.67+(U14=0.08)*5.33+(U14=0.09)*6+(U14=0.1)*6.67+(U14=0.11)*7.33)</f>
        <v>#VALUE!</v>
      </c>
      <c r="Y14" s="1" t="e">
        <f>S14/12*U14*100</f>
        <v>#VALUE!</v>
      </c>
    </row>
    <row r="15" spans="1:25" ht="26.35" customHeight="1" x14ac:dyDescent="0.3">
      <c r="B15" s="86"/>
      <c r="C15" s="174"/>
      <c r="D15" s="175"/>
      <c r="E15" s="68"/>
      <c r="F15" s="68"/>
      <c r="G15" s="68"/>
      <c r="H15" s="82"/>
      <c r="I15" s="83"/>
      <c r="J15" s="83"/>
      <c r="K15" s="83"/>
      <c r="L15" s="84"/>
      <c r="M15" s="67"/>
      <c r="N15" s="67"/>
      <c r="O15" s="7"/>
      <c r="P15" s="24"/>
      <c r="Q15" s="73"/>
      <c r="S15" s="1" t="e">
        <f>VALUE(MID(M15,3,LEN(M15)-3))</f>
        <v>#VALUE!</v>
      </c>
      <c r="T15" s="11">
        <f xml:space="preserve"> INT(O15)</f>
        <v>0</v>
      </c>
      <c r="U15" s="11">
        <f>ROUND(O15-INT(O15),2)</f>
        <v>0</v>
      </c>
      <c r="V15" s="1" t="e">
        <f>(S15=6)*((U15=0.01)*0.5+(U15=0.02)*1+(U15=0.03)*1.5+(U15=0.04)*2+(U15=0.05)*2.5+(U15=0.06)*3+(U15=0.07)*3.5+(U15=0.08)*4+(U15=0.09)*4.5+(U15=0.1)*5+(U15=0.11)*5.5)</f>
        <v>#VALUE!</v>
      </c>
      <c r="W15" s="1" t="e">
        <f>(S15=7)*((U15=0.01)*0.58+(U15=0.02)*1.17+(U15=0.03)*1.75+(U15=0.04)*2.33+(U15=0.05)*2.92+(U15=0.06)*3.5+(U15=0.07)*4.08+(U15=0.08)*4.67+(U15=0.09)*5.25+(U15=0.1)*5.83+(U15=0.11)*6.42)</f>
        <v>#VALUE!</v>
      </c>
      <c r="X15" s="1" t="e">
        <f>(S15=8)*((U15=0.01)*0.67+(U15=0.02)*1.33+(U15=0.03)*2+(U15=0.04)*2.67+(U15=0.05)*3.33+(U15=0.06)*4+(U15=0.07)*4.67+(U15=0.08)*5.33+(U15=0.09)*6+(U15=0.1)*6.67+(U15=0.11)*7.33)</f>
        <v>#VALUE!</v>
      </c>
      <c r="Y15" s="1" t="e">
        <f>S15/12*U15*100</f>
        <v>#VALUE!</v>
      </c>
    </row>
    <row r="16" spans="1:25" ht="26.35" customHeight="1" thickBot="1" x14ac:dyDescent="0.35">
      <c r="B16" s="86"/>
      <c r="C16" s="176"/>
      <c r="D16" s="177"/>
      <c r="E16" s="82"/>
      <c r="F16" s="83"/>
      <c r="G16" s="84"/>
      <c r="H16" s="82"/>
      <c r="I16" s="83"/>
      <c r="J16" s="83"/>
      <c r="K16" s="83"/>
      <c r="L16" s="84"/>
      <c r="M16" s="67"/>
      <c r="N16" s="67"/>
      <c r="O16" s="7"/>
      <c r="P16" s="24"/>
      <c r="Q16" s="73"/>
      <c r="S16" s="1" t="e">
        <f>VALUE(MID(M16,3,LEN(M16)-3))</f>
        <v>#VALUE!</v>
      </c>
      <c r="T16" s="11">
        <f xml:space="preserve"> INT(O16)</f>
        <v>0</v>
      </c>
      <c r="U16" s="11">
        <f>ROUND(O16-INT(O16),2)</f>
        <v>0</v>
      </c>
      <c r="V16" s="1" t="e">
        <f>(S16=6)*((U16=0.01)*0.5+(U16=0.02)*1+(U16=0.03)*1.5+(U16=0.04)*2+(U16=0.05)*2.5+(U16=0.06)*3+(U16=0.07)*3.5+(U16=0.08)*4+(U16=0.09)*4.5+(U16=0.1)*5+(U16=0.11)*5.5)</f>
        <v>#VALUE!</v>
      </c>
      <c r="W16" s="1" t="e">
        <f>(S16=7)*((U16=0.01)*0.58+(U16=0.02)*1.17+(U16=0.03)*1.75+(U16=0.04)*2.33+(U16=0.05)*2.92+(U16=0.06)*3.5+(U16=0.07)*4.08+(U16=0.08)*4.67+(U16=0.09)*5.25+(U16=0.1)*5.83+(U16=0.11)*6.42)</f>
        <v>#VALUE!</v>
      </c>
      <c r="X16" s="1" t="e">
        <f>(S16=8)*((U16=0.01)*0.67+(U16=0.02)*1.33+(U16=0.03)*2+(U16=0.04)*2.67+(U16=0.05)*3.33+(U16=0.06)*4+(U16=0.07)*4.67+(U16=0.08)*5.33+(U16=0.09)*6+(U16=0.1)*6.67+(U16=0.11)*7.33)</f>
        <v>#VALUE!</v>
      </c>
      <c r="Y16" s="1" t="e">
        <f>S16/12*U16*100</f>
        <v>#VALUE!</v>
      </c>
    </row>
    <row r="17" spans="2:17" ht="26.35" customHeight="1" x14ac:dyDescent="0.3">
      <c r="B17" s="181" t="s">
        <v>29</v>
      </c>
      <c r="C17" s="80" t="s">
        <v>30</v>
      </c>
      <c r="D17" s="81"/>
      <c r="E17" s="63" t="s">
        <v>31</v>
      </c>
      <c r="F17" s="63"/>
      <c r="G17" s="63"/>
      <c r="H17" s="63"/>
      <c r="I17" s="63"/>
      <c r="J17" s="63"/>
      <c r="K17" s="69" t="s">
        <v>32</v>
      </c>
      <c r="L17" s="70"/>
      <c r="M17" s="70"/>
      <c r="N17" s="71"/>
      <c r="O17" s="42" t="s">
        <v>33</v>
      </c>
      <c r="P17" s="63" t="s">
        <v>27</v>
      </c>
      <c r="Q17" s="64"/>
    </row>
    <row r="18" spans="2:17" ht="26.35" customHeight="1" x14ac:dyDescent="0.3">
      <c r="B18" s="182"/>
      <c r="C18" s="65"/>
      <c r="D18" s="66"/>
      <c r="E18" s="67"/>
      <c r="F18" s="68"/>
      <c r="G18" s="68"/>
      <c r="H18" s="68"/>
      <c r="I18" s="68"/>
      <c r="J18" s="68"/>
      <c r="K18" s="82"/>
      <c r="L18" s="83"/>
      <c r="M18" s="83"/>
      <c r="N18" s="84"/>
      <c r="O18" s="49"/>
      <c r="P18" s="178">
        <f>IF(ISERR(SUM(O18:O32)),"",SUM(O18:O32))</f>
        <v>0</v>
      </c>
      <c r="Q18" s="179"/>
    </row>
    <row r="19" spans="2:17" ht="26.35" customHeight="1" x14ac:dyDescent="0.3">
      <c r="B19" s="182"/>
      <c r="C19" s="65"/>
      <c r="D19" s="66"/>
      <c r="E19" s="68"/>
      <c r="F19" s="68"/>
      <c r="G19" s="68"/>
      <c r="H19" s="68"/>
      <c r="I19" s="68"/>
      <c r="J19" s="68"/>
      <c r="K19" s="82"/>
      <c r="L19" s="83"/>
      <c r="M19" s="83"/>
      <c r="N19" s="84"/>
      <c r="O19" s="49"/>
      <c r="P19" s="124"/>
      <c r="Q19" s="125"/>
    </row>
    <row r="20" spans="2:17" ht="26.35" customHeight="1" x14ac:dyDescent="0.3">
      <c r="B20" s="182"/>
      <c r="C20" s="65"/>
      <c r="D20" s="66"/>
      <c r="E20" s="68"/>
      <c r="F20" s="68"/>
      <c r="G20" s="68"/>
      <c r="H20" s="68"/>
      <c r="I20" s="68"/>
      <c r="J20" s="68"/>
      <c r="K20" s="180"/>
      <c r="L20" s="83"/>
      <c r="M20" s="83"/>
      <c r="N20" s="84"/>
      <c r="O20" s="49"/>
      <c r="P20" s="124"/>
      <c r="Q20" s="125"/>
    </row>
    <row r="21" spans="2:17" ht="26.35" customHeight="1" x14ac:dyDescent="0.3">
      <c r="B21" s="182"/>
      <c r="C21" s="65"/>
      <c r="D21" s="66"/>
      <c r="E21" s="68"/>
      <c r="F21" s="68"/>
      <c r="G21" s="68"/>
      <c r="H21" s="68"/>
      <c r="I21" s="68"/>
      <c r="J21" s="68"/>
      <c r="K21" s="82"/>
      <c r="L21" s="83"/>
      <c r="M21" s="83"/>
      <c r="N21" s="84"/>
      <c r="O21" s="49"/>
      <c r="P21" s="124"/>
      <c r="Q21" s="125"/>
    </row>
    <row r="22" spans="2:17" ht="26.35" customHeight="1" x14ac:dyDescent="0.3">
      <c r="B22" s="182"/>
      <c r="C22" s="65"/>
      <c r="D22" s="66"/>
      <c r="E22" s="68"/>
      <c r="F22" s="68"/>
      <c r="G22" s="68"/>
      <c r="H22" s="68"/>
      <c r="I22" s="68"/>
      <c r="J22" s="68"/>
      <c r="K22" s="82"/>
      <c r="L22" s="83"/>
      <c r="M22" s="83"/>
      <c r="N22" s="84"/>
      <c r="O22" s="49"/>
      <c r="P22" s="124"/>
      <c r="Q22" s="125"/>
    </row>
    <row r="23" spans="2:17" ht="26.35" customHeight="1" x14ac:dyDescent="0.3">
      <c r="B23" s="182"/>
      <c r="C23" s="65"/>
      <c r="D23" s="66"/>
      <c r="E23" s="68"/>
      <c r="F23" s="68"/>
      <c r="G23" s="68"/>
      <c r="H23" s="68"/>
      <c r="I23" s="68"/>
      <c r="J23" s="68"/>
      <c r="K23" s="82"/>
      <c r="L23" s="83"/>
      <c r="M23" s="83"/>
      <c r="N23" s="84"/>
      <c r="O23" s="49"/>
      <c r="P23" s="124"/>
      <c r="Q23" s="125"/>
    </row>
    <row r="24" spans="2:17" ht="26.35" customHeight="1" x14ac:dyDescent="0.3">
      <c r="B24" s="182"/>
      <c r="C24" s="65"/>
      <c r="D24" s="66"/>
      <c r="E24" s="68"/>
      <c r="F24" s="68"/>
      <c r="G24" s="68"/>
      <c r="H24" s="68"/>
      <c r="I24" s="68"/>
      <c r="J24" s="68"/>
      <c r="K24" s="82"/>
      <c r="L24" s="83"/>
      <c r="M24" s="83"/>
      <c r="N24" s="84"/>
      <c r="O24" s="49"/>
      <c r="P24" s="124"/>
      <c r="Q24" s="125"/>
    </row>
    <row r="25" spans="2:17" ht="26.35" customHeight="1" x14ac:dyDescent="0.3">
      <c r="B25" s="182"/>
      <c r="C25" s="65"/>
      <c r="D25" s="66"/>
      <c r="E25" s="68"/>
      <c r="F25" s="68"/>
      <c r="G25" s="68"/>
      <c r="H25" s="68"/>
      <c r="I25" s="68"/>
      <c r="J25" s="68"/>
      <c r="K25" s="82"/>
      <c r="L25" s="83"/>
      <c r="M25" s="83"/>
      <c r="N25" s="84"/>
      <c r="O25" s="49"/>
      <c r="P25" s="124"/>
      <c r="Q25" s="125"/>
    </row>
    <row r="26" spans="2:17" ht="26.35" customHeight="1" x14ac:dyDescent="0.3">
      <c r="B26" s="182"/>
      <c r="C26" s="65"/>
      <c r="D26" s="66"/>
      <c r="E26" s="68"/>
      <c r="F26" s="68"/>
      <c r="G26" s="68"/>
      <c r="H26" s="68"/>
      <c r="I26" s="68"/>
      <c r="J26" s="68"/>
      <c r="K26" s="82"/>
      <c r="L26" s="83"/>
      <c r="M26" s="83"/>
      <c r="N26" s="84"/>
      <c r="O26" s="49"/>
      <c r="P26" s="124"/>
      <c r="Q26" s="125"/>
    </row>
    <row r="27" spans="2:17" ht="26.35" customHeight="1" x14ac:dyDescent="0.3">
      <c r="B27" s="182"/>
      <c r="C27" s="65"/>
      <c r="D27" s="66"/>
      <c r="E27" s="68"/>
      <c r="F27" s="68"/>
      <c r="G27" s="68"/>
      <c r="H27" s="68"/>
      <c r="I27" s="68"/>
      <c r="J27" s="68"/>
      <c r="K27" s="82"/>
      <c r="L27" s="83"/>
      <c r="M27" s="83"/>
      <c r="N27" s="84"/>
      <c r="O27" s="49"/>
      <c r="P27" s="124"/>
      <c r="Q27" s="125"/>
    </row>
    <row r="28" spans="2:17" ht="26.35" customHeight="1" x14ac:dyDescent="0.3">
      <c r="B28" s="182"/>
      <c r="C28" s="65"/>
      <c r="D28" s="66"/>
      <c r="E28" s="68"/>
      <c r="F28" s="68"/>
      <c r="G28" s="68"/>
      <c r="H28" s="68"/>
      <c r="I28" s="68"/>
      <c r="J28" s="68"/>
      <c r="K28" s="82"/>
      <c r="L28" s="83"/>
      <c r="M28" s="83"/>
      <c r="N28" s="84"/>
      <c r="O28" s="49"/>
      <c r="P28" s="124"/>
      <c r="Q28" s="125"/>
    </row>
    <row r="29" spans="2:17" ht="26.35" customHeight="1" x14ac:dyDescent="0.3">
      <c r="B29" s="182"/>
      <c r="C29" s="65"/>
      <c r="D29" s="66"/>
      <c r="E29" s="68"/>
      <c r="F29" s="68"/>
      <c r="G29" s="68"/>
      <c r="H29" s="68"/>
      <c r="I29" s="68"/>
      <c r="J29" s="68"/>
      <c r="K29" s="82"/>
      <c r="L29" s="83"/>
      <c r="M29" s="83"/>
      <c r="N29" s="84"/>
      <c r="O29" s="49"/>
      <c r="P29" s="124"/>
      <c r="Q29" s="125"/>
    </row>
    <row r="30" spans="2:17" ht="26.35" customHeight="1" x14ac:dyDescent="0.3">
      <c r="B30" s="182"/>
      <c r="C30" s="65"/>
      <c r="D30" s="66"/>
      <c r="E30" s="68"/>
      <c r="F30" s="68"/>
      <c r="G30" s="68"/>
      <c r="H30" s="68"/>
      <c r="I30" s="68"/>
      <c r="J30" s="68"/>
      <c r="K30" s="82"/>
      <c r="L30" s="83"/>
      <c r="M30" s="83"/>
      <c r="N30" s="84"/>
      <c r="O30" s="49"/>
      <c r="P30" s="124"/>
      <c r="Q30" s="125"/>
    </row>
    <row r="31" spans="2:17" ht="26.35" customHeight="1" x14ac:dyDescent="0.3">
      <c r="B31" s="182"/>
      <c r="C31" s="82"/>
      <c r="D31" s="84"/>
      <c r="E31" s="82"/>
      <c r="F31" s="83"/>
      <c r="G31" s="83"/>
      <c r="H31" s="83"/>
      <c r="I31" s="83"/>
      <c r="J31" s="84"/>
      <c r="K31" s="82"/>
      <c r="L31" s="83"/>
      <c r="M31" s="83"/>
      <c r="N31" s="84"/>
      <c r="O31" s="49"/>
      <c r="P31" s="124"/>
      <c r="Q31" s="125"/>
    </row>
    <row r="32" spans="2:17" ht="26.35" customHeight="1" thickBot="1" x14ac:dyDescent="0.35">
      <c r="B32" s="183"/>
      <c r="C32" s="184"/>
      <c r="D32" s="185"/>
      <c r="E32" s="184"/>
      <c r="F32" s="186"/>
      <c r="G32" s="186"/>
      <c r="H32" s="186"/>
      <c r="I32" s="186"/>
      <c r="J32" s="185"/>
      <c r="K32" s="184"/>
      <c r="L32" s="186"/>
      <c r="M32" s="186"/>
      <c r="N32" s="185"/>
      <c r="O32" s="50"/>
      <c r="P32" s="126"/>
      <c r="Q32" s="127"/>
    </row>
    <row r="33" spans="2:17" ht="53.15" customHeight="1" x14ac:dyDescent="0.3">
      <c r="B33" s="182" t="s">
        <v>216</v>
      </c>
      <c r="C33" s="80" t="s">
        <v>178</v>
      </c>
      <c r="D33" s="81"/>
      <c r="E33" s="187"/>
      <c r="F33" s="188"/>
      <c r="G33" s="188"/>
      <c r="H33" s="188"/>
      <c r="I33" s="188"/>
      <c r="J33" s="188"/>
      <c r="K33" s="128"/>
      <c r="L33" s="129"/>
      <c r="M33" s="129"/>
      <c r="N33" s="130"/>
      <c r="O33" s="49"/>
      <c r="P33" s="124">
        <f>IF(ISERR(SUM(O33:O36)),"",SUM(O33:O36))</f>
        <v>0</v>
      </c>
      <c r="Q33" s="125"/>
    </row>
    <row r="34" spans="2:17" ht="26.35" customHeight="1" x14ac:dyDescent="0.3">
      <c r="B34" s="182"/>
      <c r="C34" s="95" t="s">
        <v>179</v>
      </c>
      <c r="D34" s="96"/>
      <c r="E34" s="82"/>
      <c r="F34" s="83"/>
      <c r="G34" s="83"/>
      <c r="H34" s="83"/>
      <c r="I34" s="83"/>
      <c r="J34" s="84"/>
      <c r="K34" s="82"/>
      <c r="L34" s="83"/>
      <c r="M34" s="83"/>
      <c r="N34" s="84"/>
      <c r="O34" s="49"/>
      <c r="P34" s="124"/>
      <c r="Q34" s="125"/>
    </row>
    <row r="35" spans="2:17" ht="30.1" customHeight="1" x14ac:dyDescent="0.3">
      <c r="B35" s="182"/>
      <c r="C35" s="121" t="s">
        <v>180</v>
      </c>
      <c r="D35" s="122"/>
      <c r="E35" s="123"/>
      <c r="F35" s="123"/>
      <c r="G35" s="123"/>
      <c r="H35" s="123"/>
      <c r="I35" s="123"/>
      <c r="J35" s="123"/>
      <c r="K35" s="111"/>
      <c r="L35" s="112"/>
      <c r="M35" s="112"/>
      <c r="N35" s="113"/>
      <c r="O35" s="49"/>
      <c r="P35" s="124"/>
      <c r="Q35" s="125"/>
    </row>
    <row r="36" spans="2:17" ht="30.1" customHeight="1" thickBot="1" x14ac:dyDescent="0.35">
      <c r="B36" s="183"/>
      <c r="C36" s="131" t="s">
        <v>181</v>
      </c>
      <c r="D36" s="132"/>
      <c r="E36" s="68"/>
      <c r="F36" s="68"/>
      <c r="G36" s="68"/>
      <c r="H36" s="68"/>
      <c r="I36" s="68"/>
      <c r="J36" s="68"/>
      <c r="K36" s="82"/>
      <c r="L36" s="83"/>
      <c r="M36" s="83"/>
      <c r="N36" s="84"/>
      <c r="O36" s="49"/>
      <c r="P36" s="126"/>
      <c r="Q36" s="127"/>
    </row>
    <row r="37" spans="2:17" ht="25.3" customHeight="1" x14ac:dyDescent="0.3">
      <c r="B37" s="97" t="s">
        <v>34</v>
      </c>
      <c r="C37" s="98"/>
      <c r="D37" s="98"/>
      <c r="E37" s="101" t="s">
        <v>35</v>
      </c>
      <c r="F37" s="102"/>
      <c r="G37" s="118" t="s">
        <v>36</v>
      </c>
      <c r="H37" s="119"/>
      <c r="I37" s="114" t="s">
        <v>37</v>
      </c>
      <c r="J37" s="115"/>
      <c r="K37" s="105"/>
      <c r="L37" s="106"/>
      <c r="M37" s="106"/>
      <c r="N37" s="106"/>
      <c r="O37" s="106"/>
      <c r="P37" s="106"/>
      <c r="Q37" s="107"/>
    </row>
    <row r="38" spans="2:17" ht="59.95" customHeight="1" thickBot="1" x14ac:dyDescent="0.35">
      <c r="B38" s="99"/>
      <c r="C38" s="100"/>
      <c r="D38" s="100"/>
      <c r="E38" s="103"/>
      <c r="F38" s="104"/>
      <c r="G38" s="103"/>
      <c r="H38" s="120"/>
      <c r="I38" s="116"/>
      <c r="J38" s="117"/>
      <c r="K38" s="108"/>
      <c r="L38" s="109"/>
      <c r="M38" s="109"/>
      <c r="N38" s="109"/>
      <c r="O38" s="109"/>
      <c r="P38" s="109"/>
      <c r="Q38" s="110"/>
    </row>
    <row r="39" spans="2:17" ht="11.55" thickBot="1" x14ac:dyDescent="0.35">
      <c r="C39" s="6"/>
    </row>
    <row r="40" spans="2:17" ht="20.25" hidden="1" customHeight="1" x14ac:dyDescent="0.3"/>
    <row r="41" spans="2:17" ht="20.25" hidden="1" customHeight="1" x14ac:dyDescent="0.3"/>
    <row r="42" spans="2:17" ht="20.25" hidden="1" customHeight="1" x14ac:dyDescent="0.3"/>
    <row r="43" spans="2:17" ht="20.25" hidden="1" customHeight="1" x14ac:dyDescent="0.3"/>
    <row r="44" spans="2:17" ht="20.25" hidden="1" customHeight="1" x14ac:dyDescent="0.3"/>
    <row r="45" spans="2:17" ht="20.25" hidden="1" customHeight="1" x14ac:dyDescent="0.3"/>
    <row r="46" spans="2:17" ht="11.55" hidden="1" thickBot="1" x14ac:dyDescent="0.35"/>
    <row r="47" spans="2:17" ht="26.35" customHeight="1" thickBot="1" x14ac:dyDescent="0.35">
      <c r="B47" s="90" t="s">
        <v>38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2"/>
    </row>
    <row r="48" spans="2:17" ht="26.35" hidden="1" customHeight="1" thickTop="1" x14ac:dyDescent="0.3">
      <c r="B48" s="88" t="s">
        <v>39</v>
      </c>
      <c r="C48" s="89"/>
      <c r="D48" s="89"/>
      <c r="E48" s="89"/>
      <c r="F48" s="93"/>
      <c r="G48" s="93"/>
      <c r="H48" s="93"/>
      <c r="I48" s="93"/>
      <c r="J48" s="93"/>
      <c r="K48" s="93"/>
      <c r="L48" s="93"/>
      <c r="M48" s="93"/>
      <c r="N48" s="94"/>
    </row>
    <row r="49" spans="2:14" ht="26.35" customHeight="1" thickTop="1" x14ac:dyDescent="0.3">
      <c r="B49" s="74" t="s">
        <v>40</v>
      </c>
      <c r="C49" s="75"/>
      <c r="D49" s="75"/>
      <c r="E49" s="76"/>
      <c r="F49" s="77"/>
      <c r="G49" s="78"/>
      <c r="H49" s="78"/>
      <c r="I49" s="78"/>
      <c r="J49" s="78"/>
      <c r="K49" s="78"/>
      <c r="L49" s="78"/>
      <c r="M49" s="78"/>
      <c r="N49" s="79"/>
    </row>
    <row r="50" spans="2:14" ht="26.35" customHeight="1" x14ac:dyDescent="0.3">
      <c r="B50" s="59" t="s">
        <v>41</v>
      </c>
      <c r="C50" s="60"/>
      <c r="D50" s="60"/>
      <c r="E50" s="60"/>
      <c r="F50" s="55"/>
      <c r="G50" s="55"/>
      <c r="H50" s="55"/>
      <c r="I50" s="55"/>
      <c r="J50" s="55"/>
      <c r="K50" s="55"/>
      <c r="L50" s="55"/>
      <c r="M50" s="55"/>
      <c r="N50" s="56"/>
    </row>
    <row r="51" spans="2:14" ht="26.35" customHeight="1" x14ac:dyDescent="0.3">
      <c r="B51" s="59" t="s">
        <v>42</v>
      </c>
      <c r="C51" s="60"/>
      <c r="D51" s="60"/>
      <c r="E51" s="60"/>
      <c r="F51" s="55"/>
      <c r="G51" s="55"/>
      <c r="H51" s="55"/>
      <c r="I51" s="55"/>
      <c r="J51" s="55"/>
      <c r="K51" s="55"/>
      <c r="L51" s="55"/>
      <c r="M51" s="55"/>
      <c r="N51" s="56"/>
    </row>
    <row r="52" spans="2:14" ht="26.35" customHeight="1" x14ac:dyDescent="0.3">
      <c r="B52" s="59" t="s">
        <v>43</v>
      </c>
      <c r="C52" s="60"/>
      <c r="D52" s="60"/>
      <c r="E52" s="60"/>
      <c r="F52" s="55"/>
      <c r="G52" s="55"/>
      <c r="H52" s="55"/>
      <c r="I52" s="55"/>
      <c r="J52" s="55"/>
      <c r="K52" s="55"/>
      <c r="L52" s="55"/>
      <c r="M52" s="55"/>
      <c r="N52" s="56"/>
    </row>
    <row r="53" spans="2:14" ht="26.35" customHeight="1" x14ac:dyDescent="0.3">
      <c r="B53" s="59" t="s">
        <v>44</v>
      </c>
      <c r="C53" s="60"/>
      <c r="D53" s="60"/>
      <c r="E53" s="60"/>
      <c r="F53" s="55"/>
      <c r="G53" s="55"/>
      <c r="H53" s="55"/>
      <c r="I53" s="55"/>
      <c r="J53" s="55"/>
      <c r="K53" s="55"/>
      <c r="L53" s="55"/>
      <c r="M53" s="55"/>
      <c r="N53" s="56"/>
    </row>
    <row r="54" spans="2:14" ht="26.35" customHeight="1" x14ac:dyDescent="0.3">
      <c r="B54" s="59" t="s">
        <v>45</v>
      </c>
      <c r="C54" s="60"/>
      <c r="D54" s="60"/>
      <c r="E54" s="60"/>
      <c r="F54" s="55"/>
      <c r="G54" s="55"/>
      <c r="H54" s="55"/>
      <c r="I54" s="55"/>
      <c r="J54" s="55"/>
      <c r="K54" s="55"/>
      <c r="L54" s="55"/>
      <c r="M54" s="55"/>
      <c r="N54" s="56"/>
    </row>
    <row r="55" spans="2:14" ht="26.35" customHeight="1" x14ac:dyDescent="0.3">
      <c r="B55" s="59" t="s">
        <v>46</v>
      </c>
      <c r="C55" s="60"/>
      <c r="D55" s="60"/>
      <c r="E55" s="60"/>
      <c r="F55" s="55"/>
      <c r="G55" s="55"/>
      <c r="H55" s="55"/>
      <c r="I55" s="55"/>
      <c r="J55" s="55"/>
      <c r="K55" s="55"/>
      <c r="L55" s="55"/>
      <c r="M55" s="55"/>
      <c r="N55" s="56"/>
    </row>
    <row r="56" spans="2:14" ht="26.35" customHeight="1" x14ac:dyDescent="0.3">
      <c r="B56" s="59" t="s">
        <v>47</v>
      </c>
      <c r="C56" s="60"/>
      <c r="D56" s="60"/>
      <c r="E56" s="60"/>
      <c r="F56" s="55"/>
      <c r="G56" s="55"/>
      <c r="H56" s="55"/>
      <c r="I56" s="55"/>
      <c r="J56" s="55"/>
      <c r="K56" s="55"/>
      <c r="L56" s="55"/>
      <c r="M56" s="55"/>
      <c r="N56" s="56"/>
    </row>
    <row r="57" spans="2:14" ht="26.35" customHeight="1" thickBot="1" x14ac:dyDescent="0.35">
      <c r="B57" s="61" t="s">
        <v>273</v>
      </c>
      <c r="C57" s="62"/>
      <c r="D57" s="62"/>
      <c r="E57" s="62"/>
      <c r="F57" s="57"/>
      <c r="G57" s="57"/>
      <c r="H57" s="57"/>
      <c r="I57" s="57"/>
      <c r="J57" s="57"/>
      <c r="K57" s="57"/>
      <c r="L57" s="57"/>
      <c r="M57" s="57"/>
      <c r="N57" s="58"/>
    </row>
    <row r="58" spans="2:14" ht="26.35" customHeight="1" x14ac:dyDescent="0.3"/>
    <row r="59" spans="2:14" ht="26.35" customHeight="1" x14ac:dyDescent="0.3"/>
    <row r="60" spans="2:14" ht="26.35" customHeight="1" x14ac:dyDescent="0.3"/>
    <row r="61" spans="2:14" ht="26.35" customHeight="1" x14ac:dyDescent="0.3"/>
    <row r="62" spans="2:14" ht="26.35" customHeight="1" x14ac:dyDescent="0.3"/>
    <row r="98" spans="27:38" ht="20.25" customHeight="1" x14ac:dyDescent="0.3">
      <c r="AA98" s="8" t="s">
        <v>99</v>
      </c>
      <c r="AB98" s="8" t="s">
        <v>100</v>
      </c>
      <c r="AC98" s="8" t="s">
        <v>101</v>
      </c>
      <c r="AD98" s="8" t="s">
        <v>102</v>
      </c>
      <c r="AE98" s="8" t="s">
        <v>103</v>
      </c>
      <c r="AF98" s="8" t="s">
        <v>104</v>
      </c>
      <c r="AG98" s="8" t="s">
        <v>105</v>
      </c>
      <c r="AH98" s="8" t="s">
        <v>51</v>
      </c>
      <c r="AI98" s="8" t="s">
        <v>52</v>
      </c>
      <c r="AJ98" s="8" t="s">
        <v>106</v>
      </c>
      <c r="AK98" s="8" t="s">
        <v>30</v>
      </c>
      <c r="AL98" s="8" t="s">
        <v>107</v>
      </c>
    </row>
    <row r="99" spans="27:38" ht="20.25" customHeight="1" x14ac:dyDescent="0.3">
      <c r="AA99" s="8" t="s">
        <v>108</v>
      </c>
      <c r="AB99" s="8" t="s">
        <v>168</v>
      </c>
      <c r="AC99" s="8" t="s">
        <v>109</v>
      </c>
      <c r="AD99" s="8" t="s">
        <v>110</v>
      </c>
      <c r="AE99" s="8" t="s">
        <v>110</v>
      </c>
      <c r="AF99" s="8" t="s">
        <v>111</v>
      </c>
      <c r="AG99" s="8" t="s">
        <v>112</v>
      </c>
      <c r="AH99" s="8" t="s">
        <v>53</v>
      </c>
      <c r="AI99" s="8" t="s">
        <v>113</v>
      </c>
      <c r="AJ99" s="8" t="s">
        <v>114</v>
      </c>
      <c r="AK99" s="8" t="s">
        <v>115</v>
      </c>
      <c r="AL99" s="1" t="s">
        <v>116</v>
      </c>
    </row>
    <row r="100" spans="27:38" ht="20.25" customHeight="1" x14ac:dyDescent="0.3">
      <c r="AA100" s="8" t="s">
        <v>117</v>
      </c>
      <c r="AB100" s="8"/>
      <c r="AC100" s="8" t="s">
        <v>118</v>
      </c>
      <c r="AD100" s="8" t="s">
        <v>119</v>
      </c>
      <c r="AE100" s="8" t="s">
        <v>119</v>
      </c>
      <c r="AF100" s="8" t="s">
        <v>120</v>
      </c>
      <c r="AG100" s="8" t="s">
        <v>121</v>
      </c>
      <c r="AH100" s="8" t="s">
        <v>54</v>
      </c>
      <c r="AI100" s="8" t="s">
        <v>122</v>
      </c>
      <c r="AJ100" s="8" t="s">
        <v>123</v>
      </c>
      <c r="AK100" s="8" t="s">
        <v>124</v>
      </c>
      <c r="AL100" s="1" t="s">
        <v>125</v>
      </c>
    </row>
    <row r="101" spans="27:38" ht="20.25" customHeight="1" x14ac:dyDescent="0.3">
      <c r="AA101" s="8" t="s">
        <v>126</v>
      </c>
      <c r="AB101" s="8"/>
      <c r="AC101" s="8" t="s">
        <v>127</v>
      </c>
      <c r="AD101" s="8" t="s">
        <v>128</v>
      </c>
      <c r="AE101" s="8" t="s">
        <v>128</v>
      </c>
      <c r="AF101" s="8"/>
      <c r="AG101" s="8"/>
      <c r="AH101" s="8" t="s">
        <v>55</v>
      </c>
      <c r="AI101" s="8" t="s">
        <v>129</v>
      </c>
      <c r="AJ101" s="8" t="s">
        <v>130</v>
      </c>
      <c r="AK101" s="8" t="s">
        <v>131</v>
      </c>
    </row>
    <row r="102" spans="27:38" ht="20.25" customHeight="1" x14ac:dyDescent="0.3">
      <c r="AA102" s="8" t="s">
        <v>132</v>
      </c>
      <c r="AB102" s="8"/>
      <c r="AC102" s="8"/>
      <c r="AD102" s="8" t="s">
        <v>227</v>
      </c>
      <c r="AE102" s="8" t="s">
        <v>227</v>
      </c>
      <c r="AF102" s="8"/>
      <c r="AG102" s="8"/>
      <c r="AH102" s="8" t="s">
        <v>56</v>
      </c>
      <c r="AI102" s="8" t="s">
        <v>276</v>
      </c>
      <c r="AJ102" s="8" t="s">
        <v>134</v>
      </c>
      <c r="AK102" s="8" t="s">
        <v>135</v>
      </c>
    </row>
    <row r="103" spans="27:38" ht="20.25" customHeight="1" x14ac:dyDescent="0.3">
      <c r="AA103" s="8" t="s">
        <v>136</v>
      </c>
      <c r="AB103" s="8"/>
      <c r="AC103" s="8"/>
      <c r="AD103" s="8" t="s">
        <v>133</v>
      </c>
      <c r="AE103" s="8" t="s">
        <v>133</v>
      </c>
      <c r="AF103" s="8"/>
      <c r="AG103" s="8"/>
      <c r="AH103" s="8"/>
      <c r="AI103" s="8" t="s">
        <v>275</v>
      </c>
      <c r="AJ103" s="8" t="s">
        <v>138</v>
      </c>
      <c r="AK103" s="8" t="s">
        <v>139</v>
      </c>
    </row>
    <row r="104" spans="27:38" ht="20.25" customHeight="1" x14ac:dyDescent="0.3">
      <c r="AA104" s="8"/>
      <c r="AB104" s="8"/>
      <c r="AC104" s="8"/>
      <c r="AD104" s="8" t="s">
        <v>137</v>
      </c>
      <c r="AE104" s="8" t="s">
        <v>137</v>
      </c>
      <c r="AF104" s="8"/>
      <c r="AG104" s="8"/>
      <c r="AH104" s="8"/>
      <c r="AI104" s="8"/>
      <c r="AJ104" s="8" t="s">
        <v>141</v>
      </c>
    </row>
    <row r="105" spans="27:38" ht="20.25" customHeight="1" x14ac:dyDescent="0.3">
      <c r="AA105" s="8"/>
      <c r="AB105" s="8"/>
      <c r="AC105" s="8"/>
      <c r="AD105" s="8" t="s">
        <v>140</v>
      </c>
      <c r="AE105" s="8" t="s">
        <v>140</v>
      </c>
      <c r="AF105" s="8"/>
      <c r="AG105" s="8"/>
      <c r="AH105" s="8"/>
      <c r="AI105" s="8"/>
      <c r="AJ105" s="8" t="s">
        <v>144</v>
      </c>
    </row>
    <row r="106" spans="27:38" ht="20.25" customHeight="1" x14ac:dyDescent="0.3">
      <c r="AA106" s="8"/>
      <c r="AB106" s="8"/>
      <c r="AC106" s="8"/>
      <c r="AD106" s="8" t="s">
        <v>142</v>
      </c>
      <c r="AE106" s="8" t="s">
        <v>142</v>
      </c>
      <c r="AF106" s="8"/>
      <c r="AG106" s="8"/>
      <c r="AH106" s="8"/>
      <c r="AI106" s="8"/>
      <c r="AJ106" s="8"/>
    </row>
    <row r="107" spans="27:38" ht="20.25" customHeight="1" x14ac:dyDescent="0.3">
      <c r="AA107" s="8"/>
      <c r="AB107" s="8"/>
      <c r="AC107" s="8"/>
      <c r="AD107" s="8" t="s">
        <v>143</v>
      </c>
      <c r="AE107" s="8" t="s">
        <v>143</v>
      </c>
      <c r="AF107" s="8"/>
      <c r="AG107" s="8"/>
      <c r="AH107" s="8"/>
      <c r="AI107" s="8"/>
      <c r="AJ107" s="8"/>
    </row>
    <row r="108" spans="27:38" ht="20.25" customHeight="1" x14ac:dyDescent="0.3">
      <c r="AA108" s="8"/>
      <c r="AB108" s="8"/>
      <c r="AC108" s="8"/>
      <c r="AD108" s="8" t="s">
        <v>145</v>
      </c>
      <c r="AE108" s="8" t="s">
        <v>145</v>
      </c>
      <c r="AF108" s="8"/>
      <c r="AG108" s="8"/>
      <c r="AH108" s="8"/>
      <c r="AI108" s="8"/>
      <c r="AJ108" s="8"/>
    </row>
    <row r="109" spans="27:38" ht="20.25" customHeight="1" x14ac:dyDescent="0.3">
      <c r="AA109" s="8"/>
      <c r="AB109" s="8"/>
      <c r="AC109" s="8"/>
      <c r="AD109" s="8" t="s">
        <v>146</v>
      </c>
      <c r="AE109" s="8" t="s">
        <v>146</v>
      </c>
      <c r="AF109" s="8"/>
      <c r="AG109" s="8"/>
      <c r="AH109" s="8"/>
      <c r="AI109" s="8"/>
      <c r="AJ109" s="8"/>
    </row>
    <row r="110" spans="27:38" ht="20.25" customHeight="1" x14ac:dyDescent="0.3">
      <c r="AA110" s="8"/>
      <c r="AB110" s="8"/>
      <c r="AC110" s="8"/>
      <c r="AD110" s="8" t="s">
        <v>147</v>
      </c>
      <c r="AE110" s="8" t="s">
        <v>147</v>
      </c>
      <c r="AF110" s="8"/>
      <c r="AG110" s="8"/>
      <c r="AH110" s="8"/>
      <c r="AI110" s="8"/>
      <c r="AJ110" s="8"/>
    </row>
    <row r="111" spans="27:38" ht="20.25" customHeight="1" x14ac:dyDescent="0.3">
      <c r="AA111" s="8"/>
      <c r="AB111" s="8"/>
      <c r="AC111" s="8"/>
      <c r="AD111" s="8" t="s">
        <v>148</v>
      </c>
      <c r="AE111" s="8" t="s">
        <v>148</v>
      </c>
      <c r="AF111" s="8"/>
      <c r="AG111" s="8"/>
      <c r="AH111" s="8"/>
      <c r="AI111" s="8"/>
      <c r="AJ111" s="8"/>
    </row>
    <row r="112" spans="27:38" ht="20.25" customHeight="1" x14ac:dyDescent="0.3">
      <c r="AA112" s="8"/>
      <c r="AB112" s="8"/>
      <c r="AC112" s="8"/>
      <c r="AD112" s="8" t="s">
        <v>228</v>
      </c>
      <c r="AE112" s="8" t="s">
        <v>228</v>
      </c>
      <c r="AF112" s="8"/>
      <c r="AG112" s="8"/>
      <c r="AH112" s="8"/>
      <c r="AI112" s="8"/>
      <c r="AJ112" s="8"/>
    </row>
    <row r="113" spans="27:36" ht="20.25" customHeight="1" x14ac:dyDescent="0.3">
      <c r="AA113" s="8"/>
      <c r="AB113" s="8"/>
      <c r="AC113" s="8"/>
      <c r="AD113" s="8" t="s">
        <v>149</v>
      </c>
      <c r="AE113" s="8" t="s">
        <v>149</v>
      </c>
      <c r="AF113" s="8"/>
      <c r="AG113" s="8"/>
      <c r="AH113" s="8"/>
      <c r="AI113" s="8"/>
      <c r="AJ113" s="8"/>
    </row>
    <row r="114" spans="27:36" ht="20.25" customHeight="1" x14ac:dyDescent="0.3">
      <c r="AA114" s="8"/>
      <c r="AB114" s="8"/>
      <c r="AC114" s="8"/>
      <c r="AD114" s="8" t="s">
        <v>150</v>
      </c>
      <c r="AE114" s="8" t="s">
        <v>150</v>
      </c>
      <c r="AF114" s="8"/>
      <c r="AG114" s="8"/>
      <c r="AH114" s="8"/>
      <c r="AI114" s="8"/>
      <c r="AJ114" s="8"/>
    </row>
    <row r="115" spans="27:36" ht="20.25" customHeight="1" x14ac:dyDescent="0.3">
      <c r="AA115" s="8"/>
      <c r="AB115" s="8"/>
      <c r="AC115" s="8"/>
      <c r="AD115" s="8" t="s">
        <v>151</v>
      </c>
      <c r="AE115" s="8" t="s">
        <v>151</v>
      </c>
      <c r="AF115" s="8"/>
      <c r="AG115" s="8"/>
      <c r="AH115" s="8"/>
      <c r="AI115" s="8"/>
      <c r="AJ115" s="8"/>
    </row>
    <row r="116" spans="27:36" ht="20.25" customHeight="1" x14ac:dyDescent="0.3">
      <c r="AA116" s="8"/>
      <c r="AB116" s="8"/>
      <c r="AC116" s="8"/>
      <c r="AD116" s="8" t="s">
        <v>152</v>
      </c>
      <c r="AE116" s="8" t="s">
        <v>152</v>
      </c>
      <c r="AF116" s="8"/>
      <c r="AG116" s="8"/>
      <c r="AH116" s="8"/>
      <c r="AI116" s="8"/>
      <c r="AJ116" s="8"/>
    </row>
    <row r="117" spans="27:36" ht="20.25" customHeight="1" x14ac:dyDescent="0.3">
      <c r="AA117" s="8"/>
      <c r="AB117" s="8"/>
      <c r="AC117" s="8"/>
      <c r="AD117" s="8" t="s">
        <v>153</v>
      </c>
      <c r="AE117" s="8" t="s">
        <v>153</v>
      </c>
      <c r="AF117" s="8"/>
      <c r="AG117" s="8"/>
      <c r="AH117" s="8"/>
      <c r="AI117" s="8"/>
      <c r="AJ117" s="8"/>
    </row>
    <row r="118" spans="27:36" ht="20.25" customHeight="1" x14ac:dyDescent="0.3">
      <c r="AA118" s="8"/>
      <c r="AB118" s="8"/>
      <c r="AC118" s="8"/>
      <c r="AD118" s="8" t="s">
        <v>154</v>
      </c>
      <c r="AE118" s="8" t="s">
        <v>154</v>
      </c>
      <c r="AF118" s="8"/>
      <c r="AG118" s="8"/>
      <c r="AH118" s="8"/>
      <c r="AI118" s="8"/>
      <c r="AJ118" s="8"/>
    </row>
    <row r="119" spans="27:36" ht="20.25" customHeight="1" x14ac:dyDescent="0.3">
      <c r="AA119" s="8"/>
      <c r="AB119" s="8"/>
      <c r="AC119" s="8"/>
      <c r="AD119" s="8" t="s">
        <v>155</v>
      </c>
      <c r="AE119" s="8" t="s">
        <v>155</v>
      </c>
      <c r="AF119" s="8"/>
      <c r="AG119" s="8"/>
      <c r="AH119" s="8"/>
      <c r="AI119" s="8"/>
      <c r="AJ119" s="8"/>
    </row>
    <row r="120" spans="27:36" ht="20.25" customHeight="1" x14ac:dyDescent="0.3">
      <c r="AA120" s="8"/>
      <c r="AB120" s="8"/>
      <c r="AC120" s="8"/>
      <c r="AD120" s="8" t="s">
        <v>156</v>
      </c>
      <c r="AE120" s="8" t="s">
        <v>156</v>
      </c>
      <c r="AF120" s="8"/>
      <c r="AG120" s="8"/>
      <c r="AH120" s="8"/>
      <c r="AI120" s="8"/>
      <c r="AJ120" s="8"/>
    </row>
    <row r="121" spans="27:36" ht="20.25" customHeight="1" x14ac:dyDescent="0.3">
      <c r="AA121" s="8"/>
      <c r="AB121" s="8"/>
      <c r="AC121" s="8"/>
      <c r="AD121" s="8" t="s">
        <v>157</v>
      </c>
      <c r="AE121" s="8" t="s">
        <v>157</v>
      </c>
      <c r="AF121" s="8"/>
      <c r="AG121" s="8"/>
      <c r="AH121" s="8"/>
      <c r="AI121" s="8"/>
      <c r="AJ121" s="8"/>
    </row>
    <row r="122" spans="27:36" ht="20.25" customHeight="1" x14ac:dyDescent="0.3">
      <c r="AA122" s="8"/>
      <c r="AB122" s="8"/>
      <c r="AC122" s="8"/>
      <c r="AD122" s="8" t="s">
        <v>158</v>
      </c>
      <c r="AE122" s="8" t="s">
        <v>158</v>
      </c>
      <c r="AF122" s="8"/>
      <c r="AG122" s="8"/>
      <c r="AH122" s="8"/>
      <c r="AI122" s="8"/>
      <c r="AJ122" s="8"/>
    </row>
    <row r="123" spans="27:36" ht="20.25" customHeight="1" x14ac:dyDescent="0.3">
      <c r="AA123" s="8"/>
      <c r="AB123" s="8"/>
      <c r="AC123" s="8"/>
      <c r="AD123" s="8" t="s">
        <v>159</v>
      </c>
      <c r="AE123" s="8" t="s">
        <v>159</v>
      </c>
      <c r="AF123" s="8"/>
      <c r="AG123" s="8"/>
      <c r="AH123" s="8"/>
      <c r="AI123" s="8"/>
      <c r="AJ123" s="8"/>
    </row>
    <row r="124" spans="27:36" ht="20.25" customHeight="1" x14ac:dyDescent="0.3">
      <c r="AA124" s="8"/>
      <c r="AB124" s="8"/>
      <c r="AC124" s="8"/>
      <c r="AD124" s="8" t="s">
        <v>160</v>
      </c>
      <c r="AE124" s="8" t="s">
        <v>160</v>
      </c>
      <c r="AF124" s="8"/>
      <c r="AG124" s="8"/>
      <c r="AH124" s="8"/>
      <c r="AI124" s="8"/>
      <c r="AJ124" s="8"/>
    </row>
    <row r="125" spans="27:36" ht="20.25" customHeight="1" x14ac:dyDescent="0.3">
      <c r="AA125" s="8"/>
      <c r="AB125" s="8"/>
      <c r="AC125" s="8"/>
      <c r="AD125" s="8" t="s">
        <v>161</v>
      </c>
      <c r="AE125" s="8" t="s">
        <v>161</v>
      </c>
      <c r="AF125" s="8"/>
      <c r="AG125" s="8"/>
      <c r="AH125" s="8"/>
      <c r="AI125" s="8"/>
      <c r="AJ125" s="8"/>
    </row>
    <row r="126" spans="27:36" ht="20.25" customHeight="1" x14ac:dyDescent="0.3">
      <c r="AA126" s="8"/>
      <c r="AB126" s="8"/>
      <c r="AC126" s="8"/>
      <c r="AD126" s="8" t="s">
        <v>162</v>
      </c>
      <c r="AE126" s="8" t="s">
        <v>162</v>
      </c>
      <c r="AF126" s="8"/>
      <c r="AG126" s="8"/>
      <c r="AH126" s="8"/>
      <c r="AI126" s="8"/>
      <c r="AJ126" s="8"/>
    </row>
    <row r="127" spans="27:36" ht="20.25" customHeight="1" x14ac:dyDescent="0.3">
      <c r="AA127" s="8"/>
      <c r="AB127" s="8"/>
      <c r="AC127" s="8"/>
      <c r="AD127" s="8" t="s">
        <v>163</v>
      </c>
      <c r="AE127" s="8" t="s">
        <v>163</v>
      </c>
      <c r="AF127" s="8"/>
      <c r="AG127" s="8"/>
      <c r="AH127" s="8"/>
      <c r="AI127" s="8"/>
      <c r="AJ127" s="8"/>
    </row>
    <row r="128" spans="27:36" ht="20.25" customHeight="1" x14ac:dyDescent="0.3">
      <c r="AA128" s="8"/>
      <c r="AB128" s="8"/>
      <c r="AC128" s="8"/>
      <c r="AD128" s="8" t="s">
        <v>164</v>
      </c>
      <c r="AE128" s="8" t="s">
        <v>164</v>
      </c>
      <c r="AF128" s="8"/>
      <c r="AG128" s="8"/>
      <c r="AH128" s="8"/>
      <c r="AI128" s="8"/>
      <c r="AJ128" s="8"/>
    </row>
    <row r="129" spans="27:36" ht="20.25" customHeight="1" x14ac:dyDescent="0.3">
      <c r="AA129" s="8"/>
      <c r="AB129" s="8"/>
      <c r="AC129" s="8"/>
      <c r="AD129" s="8" t="s">
        <v>165</v>
      </c>
      <c r="AE129" s="8" t="s">
        <v>165</v>
      </c>
      <c r="AF129" s="8"/>
      <c r="AG129" s="8"/>
      <c r="AH129" s="8"/>
      <c r="AI129" s="8"/>
      <c r="AJ129" s="8"/>
    </row>
    <row r="130" spans="27:36" ht="20.25" customHeight="1" x14ac:dyDescent="0.3">
      <c r="AA130" s="8"/>
      <c r="AB130" s="8"/>
      <c r="AC130" s="8"/>
      <c r="AD130" s="8" t="s">
        <v>166</v>
      </c>
      <c r="AE130" s="8" t="s">
        <v>166</v>
      </c>
      <c r="AF130" s="8"/>
      <c r="AG130" s="8"/>
      <c r="AH130" s="8"/>
      <c r="AI130" s="8"/>
      <c r="AJ130" s="8"/>
    </row>
    <row r="131" spans="27:36" ht="20.25" customHeight="1" x14ac:dyDescent="0.3">
      <c r="AA131" s="8"/>
      <c r="AB131" s="8"/>
      <c r="AC131" s="8"/>
      <c r="AD131" s="8" t="s">
        <v>167</v>
      </c>
      <c r="AE131" s="8" t="s">
        <v>167</v>
      </c>
      <c r="AF131" s="8"/>
      <c r="AG131" s="8"/>
      <c r="AH131" s="8"/>
      <c r="AI131" s="8"/>
      <c r="AJ131" s="8"/>
    </row>
    <row r="132" spans="27:36" ht="20.25" customHeight="1" x14ac:dyDescent="0.3">
      <c r="AA132" s="8"/>
      <c r="AB132" s="8"/>
      <c r="AC132" s="8"/>
      <c r="AD132" s="8" t="s">
        <v>168</v>
      </c>
      <c r="AE132" s="8" t="s">
        <v>118</v>
      </c>
      <c r="AF132" s="8"/>
      <c r="AG132" s="8"/>
      <c r="AH132" s="8"/>
      <c r="AI132" s="8"/>
      <c r="AJ132" s="8"/>
    </row>
    <row r="133" spans="27:36" ht="20.25" customHeight="1" x14ac:dyDescent="0.3">
      <c r="AA133" s="8"/>
      <c r="AB133" s="8"/>
      <c r="AC133" s="8"/>
      <c r="AD133" s="8" t="s">
        <v>169</v>
      </c>
      <c r="AE133" s="8" t="s">
        <v>109</v>
      </c>
      <c r="AF133" s="8"/>
      <c r="AG133" s="8"/>
      <c r="AH133" s="8"/>
      <c r="AI133" s="8"/>
      <c r="AJ133" s="8"/>
    </row>
    <row r="134" spans="27:36" ht="20.25" customHeight="1" x14ac:dyDescent="0.3">
      <c r="AA134" s="8"/>
      <c r="AB134" s="8"/>
      <c r="AC134" s="8"/>
      <c r="AD134" s="8" t="s">
        <v>170</v>
      </c>
      <c r="AE134" s="8" t="s">
        <v>127</v>
      </c>
      <c r="AF134" s="8"/>
      <c r="AG134" s="8"/>
      <c r="AH134" s="8"/>
      <c r="AI134" s="8"/>
      <c r="AJ134" s="8"/>
    </row>
    <row r="135" spans="27:36" ht="20.25" customHeight="1" x14ac:dyDescent="0.3">
      <c r="AA135" s="8"/>
      <c r="AB135" s="8"/>
      <c r="AC135" s="8"/>
      <c r="AD135" s="8" t="s">
        <v>171</v>
      </c>
      <c r="AE135" s="8" t="s">
        <v>168</v>
      </c>
      <c r="AF135" s="8"/>
      <c r="AG135" s="8"/>
      <c r="AH135" s="8"/>
      <c r="AI135" s="8"/>
      <c r="AJ135" s="8"/>
    </row>
    <row r="136" spans="27:36" ht="20.25" customHeight="1" x14ac:dyDescent="0.3">
      <c r="AD136" s="8" t="s">
        <v>172</v>
      </c>
      <c r="AE136" s="8" t="s">
        <v>169</v>
      </c>
    </row>
    <row r="137" spans="27:36" ht="20.25" customHeight="1" x14ac:dyDescent="0.3">
      <c r="AD137" s="8" t="s">
        <v>173</v>
      </c>
      <c r="AE137" s="8" t="s">
        <v>170</v>
      </c>
    </row>
    <row r="138" spans="27:36" ht="20.25" customHeight="1" x14ac:dyDescent="0.3">
      <c r="AD138" s="8" t="s">
        <v>174</v>
      </c>
      <c r="AE138" s="8" t="s">
        <v>171</v>
      </c>
    </row>
    <row r="139" spans="27:36" ht="20.25" customHeight="1" x14ac:dyDescent="0.3">
      <c r="AD139" s="8" t="s">
        <v>175</v>
      </c>
      <c r="AE139" s="8" t="s">
        <v>172</v>
      </c>
    </row>
    <row r="140" spans="27:36" ht="20.25" customHeight="1" x14ac:dyDescent="0.3">
      <c r="AD140" s="8" t="s">
        <v>229</v>
      </c>
      <c r="AE140" s="8" t="s">
        <v>173</v>
      </c>
    </row>
    <row r="141" spans="27:36" ht="20.25" customHeight="1" x14ac:dyDescent="0.3">
      <c r="AD141" s="8" t="s">
        <v>176</v>
      </c>
      <c r="AE141" s="8" t="s">
        <v>174</v>
      </c>
    </row>
    <row r="142" spans="27:36" ht="20.25" customHeight="1" x14ac:dyDescent="0.3">
      <c r="AD142" s="8"/>
      <c r="AE142" s="8" t="s">
        <v>175</v>
      </c>
    </row>
    <row r="143" spans="27:36" ht="20.25" customHeight="1" x14ac:dyDescent="0.3">
      <c r="AD143" s="8"/>
      <c r="AE143" s="8" t="s">
        <v>176</v>
      </c>
    </row>
    <row r="144" spans="27:36" ht="20.25" customHeight="1" x14ac:dyDescent="0.3">
      <c r="AD144" s="8"/>
      <c r="AE144" s="8"/>
    </row>
    <row r="145" spans="30:31" ht="20.25" customHeight="1" x14ac:dyDescent="0.3">
      <c r="AD145" s="8"/>
      <c r="AE145" s="8"/>
    </row>
    <row r="146" spans="30:31" ht="20.25" customHeight="1" x14ac:dyDescent="0.3">
      <c r="AD146" s="8"/>
      <c r="AE146" s="8"/>
    </row>
    <row r="147" spans="30:31" ht="20.25" customHeight="1" x14ac:dyDescent="0.3">
      <c r="AD147" s="8"/>
      <c r="AE147" s="8"/>
    </row>
    <row r="148" spans="30:31" ht="20.25" customHeight="1" x14ac:dyDescent="0.3">
      <c r="AD148" s="8"/>
      <c r="AE148" s="8"/>
    </row>
    <row r="149" spans="30:31" ht="20.25" customHeight="1" x14ac:dyDescent="0.3">
      <c r="AD149" s="8"/>
      <c r="AE149" s="8"/>
    </row>
    <row r="150" spans="30:31" ht="20.25" customHeight="1" x14ac:dyDescent="0.3">
      <c r="AD150" s="8"/>
      <c r="AE150" s="8"/>
    </row>
    <row r="151" spans="30:31" ht="20.25" customHeight="1" x14ac:dyDescent="0.3">
      <c r="AD151" s="8"/>
      <c r="AE151" s="8"/>
    </row>
    <row r="152" spans="30:31" ht="20.25" customHeight="1" x14ac:dyDescent="0.3">
      <c r="AD152" s="8"/>
      <c r="AE152" s="8"/>
    </row>
    <row r="153" spans="30:31" ht="20.25" customHeight="1" x14ac:dyDescent="0.3">
      <c r="AD153" s="8"/>
      <c r="AE153" s="8"/>
    </row>
    <row r="154" spans="30:31" ht="20.25" customHeight="1" x14ac:dyDescent="0.3">
      <c r="AD154" s="8"/>
      <c r="AE154" s="8"/>
    </row>
    <row r="155" spans="30:31" ht="20.25" customHeight="1" x14ac:dyDescent="0.3">
      <c r="AE155" s="8"/>
    </row>
    <row r="156" spans="30:31" ht="20.25" customHeight="1" x14ac:dyDescent="0.3">
      <c r="AE156" s="8"/>
    </row>
    <row r="157" spans="30:31" ht="20.25" customHeight="1" x14ac:dyDescent="0.3">
      <c r="AE157" s="8"/>
    </row>
  </sheetData>
  <sheetProtection algorithmName="SHA-512" hashValue="bQ8Ysb2W+Reizdt7daXROfqEbkQdnHEnEYNumiwiPrPEvuAbsF5xyK6ip4C9Co3peoVUCZPy4jaJ3Fu8C2eEpA==" saltValue="69YaF3gAgCy9xzqWy6p08g==" spinCount="100000" sheet="1" objects="1" scenarios="1"/>
  <sortState xmlns:xlrd2="http://schemas.microsoft.com/office/spreadsheetml/2017/richdata2" ref="AE99:AE157">
    <sortCondition ref="AE99:AE157"/>
  </sortState>
  <mergeCells count="158">
    <mergeCell ref="K19:N19"/>
    <mergeCell ref="C20:D20"/>
    <mergeCell ref="E20:J20"/>
    <mergeCell ref="C24:D24"/>
    <mergeCell ref="E24:J24"/>
    <mergeCell ref="K24:N24"/>
    <mergeCell ref="E21:J21"/>
    <mergeCell ref="C26:D26"/>
    <mergeCell ref="K31:N31"/>
    <mergeCell ref="K28:N28"/>
    <mergeCell ref="E36:J36"/>
    <mergeCell ref="K36:N36"/>
    <mergeCell ref="C21:D21"/>
    <mergeCell ref="K32:N32"/>
    <mergeCell ref="K25:N25"/>
    <mergeCell ref="E26:J26"/>
    <mergeCell ref="K26:N26"/>
    <mergeCell ref="C27:D27"/>
    <mergeCell ref="E28:J28"/>
    <mergeCell ref="C33:D33"/>
    <mergeCell ref="E33:J33"/>
    <mergeCell ref="P18:Q32"/>
    <mergeCell ref="H16:L16"/>
    <mergeCell ref="M16:N16"/>
    <mergeCell ref="E16:G16"/>
    <mergeCell ref="C19:D19"/>
    <mergeCell ref="E19:J19"/>
    <mergeCell ref="K20:N20"/>
    <mergeCell ref="B17:B32"/>
    <mergeCell ref="B33:B36"/>
    <mergeCell ref="C29:D29"/>
    <mergeCell ref="E29:J29"/>
    <mergeCell ref="K29:N29"/>
    <mergeCell ref="E27:J27"/>
    <mergeCell ref="K27:N27"/>
    <mergeCell ref="C28:D28"/>
    <mergeCell ref="C30:D30"/>
    <mergeCell ref="C25:D25"/>
    <mergeCell ref="E25:J25"/>
    <mergeCell ref="K30:N30"/>
    <mergeCell ref="C31:D31"/>
    <mergeCell ref="C32:D32"/>
    <mergeCell ref="E30:J30"/>
    <mergeCell ref="E31:J31"/>
    <mergeCell ref="E32:J32"/>
    <mergeCell ref="H13:L13"/>
    <mergeCell ref="M13:N13"/>
    <mergeCell ref="E14:G14"/>
    <mergeCell ref="H14:L14"/>
    <mergeCell ref="E12:G12"/>
    <mergeCell ref="H12:L12"/>
    <mergeCell ref="M12:N12"/>
    <mergeCell ref="K18:N18"/>
    <mergeCell ref="C12:D16"/>
    <mergeCell ref="M14:N14"/>
    <mergeCell ref="M15:N15"/>
    <mergeCell ref="E15:G15"/>
    <mergeCell ref="H15:L15"/>
    <mergeCell ref="R4:S4"/>
    <mergeCell ref="B5:C5"/>
    <mergeCell ref="D5:E5"/>
    <mergeCell ref="F5:G5"/>
    <mergeCell ref="H5:J5"/>
    <mergeCell ref="K5:L5"/>
    <mergeCell ref="M5:N5"/>
    <mergeCell ref="P5:Q5"/>
    <mergeCell ref="P8:Q8"/>
    <mergeCell ref="B7:C7"/>
    <mergeCell ref="K7:L7"/>
    <mergeCell ref="M7:N7"/>
    <mergeCell ref="P7:Q7"/>
    <mergeCell ref="B8:C8"/>
    <mergeCell ref="F8:G8"/>
    <mergeCell ref="D8:E8"/>
    <mergeCell ref="H8:J8"/>
    <mergeCell ref="K8:L8"/>
    <mergeCell ref="M8:N8"/>
    <mergeCell ref="B3:Q3"/>
    <mergeCell ref="J4:Q4"/>
    <mergeCell ref="B9:C10"/>
    <mergeCell ref="D9:D10"/>
    <mergeCell ref="E9:G10"/>
    <mergeCell ref="H9:J9"/>
    <mergeCell ref="K9:M9"/>
    <mergeCell ref="N9:O9"/>
    <mergeCell ref="P9:Q9"/>
    <mergeCell ref="H10:J10"/>
    <mergeCell ref="K10:M10"/>
    <mergeCell ref="N10:O10"/>
    <mergeCell ref="P10:Q10"/>
    <mergeCell ref="D7:E7"/>
    <mergeCell ref="F7:G7"/>
    <mergeCell ref="H7:J7"/>
    <mergeCell ref="P6:Q6"/>
    <mergeCell ref="B6:C6"/>
    <mergeCell ref="D6:E6"/>
    <mergeCell ref="F6:G6"/>
    <mergeCell ref="K6:L6"/>
    <mergeCell ref="H6:J6"/>
    <mergeCell ref="M6:N6"/>
    <mergeCell ref="F50:N50"/>
    <mergeCell ref="F51:N51"/>
    <mergeCell ref="B48:E48"/>
    <mergeCell ref="B50:E50"/>
    <mergeCell ref="B51:E51"/>
    <mergeCell ref="B47:N47"/>
    <mergeCell ref="F48:N48"/>
    <mergeCell ref="C34:D34"/>
    <mergeCell ref="E34:J34"/>
    <mergeCell ref="K34:N34"/>
    <mergeCell ref="B37:D38"/>
    <mergeCell ref="E37:F37"/>
    <mergeCell ref="E38:F38"/>
    <mergeCell ref="K37:Q38"/>
    <mergeCell ref="K35:N35"/>
    <mergeCell ref="I37:J37"/>
    <mergeCell ref="I38:J38"/>
    <mergeCell ref="G37:H37"/>
    <mergeCell ref="G38:H38"/>
    <mergeCell ref="C35:D35"/>
    <mergeCell ref="E35:J35"/>
    <mergeCell ref="P33:Q36"/>
    <mergeCell ref="K33:N33"/>
    <mergeCell ref="C36:D36"/>
    <mergeCell ref="P17:Q17"/>
    <mergeCell ref="C18:D18"/>
    <mergeCell ref="E18:J18"/>
    <mergeCell ref="E17:J17"/>
    <mergeCell ref="K17:N17"/>
    <mergeCell ref="Q12:Q16"/>
    <mergeCell ref="E13:G13"/>
    <mergeCell ref="F53:N53"/>
    <mergeCell ref="F54:N54"/>
    <mergeCell ref="B49:E49"/>
    <mergeCell ref="F49:N49"/>
    <mergeCell ref="C17:D17"/>
    <mergeCell ref="K21:N21"/>
    <mergeCell ref="C22:D22"/>
    <mergeCell ref="E22:J22"/>
    <mergeCell ref="K22:N22"/>
    <mergeCell ref="C23:D23"/>
    <mergeCell ref="E23:J23"/>
    <mergeCell ref="K23:N23"/>
    <mergeCell ref="B11:B16"/>
    <mergeCell ref="C11:D11"/>
    <mergeCell ref="E11:G11"/>
    <mergeCell ref="H11:L11"/>
    <mergeCell ref="M11:N11"/>
    <mergeCell ref="F55:N55"/>
    <mergeCell ref="F56:N56"/>
    <mergeCell ref="F57:N57"/>
    <mergeCell ref="B56:E56"/>
    <mergeCell ref="B57:E57"/>
    <mergeCell ref="B52:E52"/>
    <mergeCell ref="B53:E53"/>
    <mergeCell ref="B54:E54"/>
    <mergeCell ref="B55:E55"/>
    <mergeCell ref="F52:N52"/>
  </mergeCells>
  <phoneticPr fontId="2" type="noConversion"/>
  <dataValidations count="13">
    <dataValidation type="custom" allowBlank="1" showInputMessage="1" showErrorMessage="1" errorTitle="입력 형식 오류" error="생년월일은 YYYY.MM.DD 형식으로 입력하여 주십시오." sqref="N10:O10" xr:uid="{00000000-0002-0000-0000-000000000000}">
      <formula1>(IF(LEN(N10) = 10, 1, 0)) * (IF(MID(N10,5,1) = ".", 1,0)) * (IF(MID(N10,8,1) = ".", 1,0)) * (IF(NOT(ISERR(VALUE(LEFT(N10,2)))), 1, 0)) * (IF(NOT(ISERR(VALUE(MID(N10,4,2)))), 1, 0)) * (IF(NOT(ISERR(VALUE(RIGHT(N10,2)))), 1, 0)) = 1</formula1>
    </dataValidation>
    <dataValidation type="list" allowBlank="1" showInputMessage="1" showErrorMessage="1" sqref="D5:E5" xr:uid="{00000000-0002-0000-0000-000001000000}">
      <formula1>$AA$99:$AA$103</formula1>
    </dataValidation>
    <dataValidation type="list" allowBlank="1" showInputMessage="1" showErrorMessage="1" sqref="F50:N50" xr:uid="{00000000-0002-0000-0000-000002000000}">
      <formula1>$AI$99:$AI$103</formula1>
    </dataValidation>
    <dataValidation type="list" allowBlank="1" showInputMessage="1" showErrorMessage="1" sqref="F51:N51" xr:uid="{00000000-0002-0000-0000-000003000000}">
      <formula1>$AJ$99:$AJ$105</formula1>
    </dataValidation>
    <dataValidation type="list" allowBlank="1" showInputMessage="1" showErrorMessage="1" sqref="D18:D30 C18:C32" xr:uid="{00000000-0002-0000-0000-000004000000}">
      <formula1>$AK$99:$AK$102</formula1>
    </dataValidation>
    <dataValidation type="list" allowBlank="1" showInputMessage="1" showErrorMessage="1" sqref="M7:N7" xr:uid="{00000000-0002-0000-0000-000005000000}">
      <formula1>$AF$99:$AF$100</formula1>
    </dataValidation>
    <dataValidation type="list" allowBlank="1" showInputMessage="1" showErrorMessage="1" sqref="P8" xr:uid="{00000000-0002-0000-0000-000006000000}">
      <formula1>$AG$99:$AG$100</formula1>
    </dataValidation>
    <dataValidation allowBlank="1" showInputMessage="1" showErrorMessage="1" errorTitle="입력 형식 오류" error="생년월일은 YYYY.MM.DD 형식으로 입력하여 주십시오." sqref="P10:Q10" xr:uid="{00000000-0002-0000-0000-000007000000}"/>
    <dataValidation type="list" allowBlank="1" showInputMessage="1" showErrorMessage="1" sqref="P5:Q5 H5:J5 M5:N5" xr:uid="{00000000-0002-0000-0000-000008000000}">
      <formula1>$AD$99:$AD$141</formula1>
    </dataValidation>
    <dataValidation type="list" allowBlank="1" showInputMessage="1" showErrorMessage="1" sqref="F49:N49" xr:uid="{00000000-0002-0000-0000-000009000000}">
      <formula1>$AL$99:$AL$100</formula1>
    </dataValidation>
    <dataValidation type="list" allowBlank="1" showInputMessage="1" showErrorMessage="1" sqref="D6:E6 H6:J6 M6:N6" xr:uid="{00000000-0002-0000-0000-00000A000000}">
      <formula1>$AC$99:$AC$101</formula1>
    </dataValidation>
    <dataValidation type="list" allowBlank="1" showInputMessage="1" showErrorMessage="1" sqref="D7:E7" xr:uid="{00000000-0002-0000-0000-00000B000000}">
      <formula1>$AE$99:$AE$143</formula1>
    </dataValidation>
    <dataValidation type="list" allowBlank="1" showInputMessage="1" showErrorMessage="1" sqref="B3:Q3" xr:uid="{00000000-0002-0000-0000-00000C000000}">
      <formula1>"전보 내신자 조사서(초등 교사), 전보 내신자 조사서(초등 특수교사),전보 내신자 조사서(초등 상담교사),전보 내신자 조사서(초등 사서교사),전보 내신자 조사서(초등 보건교사)"</formula1>
    </dataValidation>
  </dataValidations>
  <printOptions horizontalCentered="1"/>
  <pageMargins left="0.59055118110236227" right="0.59055118110236227" top="0.59055118110236227" bottom="0.47244094488188981" header="0" footer="0"/>
  <pageSetup paperSize="9" scale="72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45"/>
  <sheetViews>
    <sheetView zoomScale="115" zoomScaleNormal="115" workbookViewId="0">
      <pane ySplit="3" topLeftCell="A36" activePane="bottomLeft" state="frozenSplit"/>
      <selection pane="bottomLeft" activeCell="D42" sqref="D42"/>
    </sheetView>
  </sheetViews>
  <sheetFormatPr defaultRowHeight="15.65" x14ac:dyDescent="0.3"/>
  <cols>
    <col min="1" max="1" width="2.33203125" customWidth="1"/>
    <col min="2" max="2" width="6.109375" style="9" customWidth="1"/>
    <col min="3" max="3" width="18" style="9" customWidth="1"/>
    <col min="4" max="4" width="63.109375" style="10" customWidth="1"/>
    <col min="5" max="6" width="30.6640625" style="10" customWidth="1"/>
  </cols>
  <sheetData>
    <row r="1" spans="2:6" ht="34.5" customHeight="1" x14ac:dyDescent="0.3">
      <c r="B1" s="189" t="s">
        <v>277</v>
      </c>
      <c r="C1" s="189"/>
      <c r="D1" s="189"/>
      <c r="E1" s="189"/>
      <c r="F1" s="189"/>
    </row>
    <row r="2" spans="2:6" ht="34.5" customHeight="1" thickBot="1" x14ac:dyDescent="0.35">
      <c r="B2" s="190" t="s">
        <v>57</v>
      </c>
      <c r="C2" s="191"/>
      <c r="D2" s="191"/>
      <c r="E2" s="191"/>
      <c r="F2" s="191"/>
    </row>
    <row r="3" spans="2:6" ht="30.1" customHeight="1" thickBot="1" x14ac:dyDescent="0.35">
      <c r="B3" s="54" t="s">
        <v>58</v>
      </c>
      <c r="C3" s="26" t="s">
        <v>59</v>
      </c>
      <c r="D3" s="27" t="s">
        <v>60</v>
      </c>
      <c r="E3" s="27" t="s">
        <v>245</v>
      </c>
      <c r="F3" s="28" t="s">
        <v>246</v>
      </c>
    </row>
    <row r="4" spans="2:6" ht="47.55" thickTop="1" x14ac:dyDescent="0.3">
      <c r="B4" s="45">
        <v>0</v>
      </c>
      <c r="C4" s="46" t="s">
        <v>226</v>
      </c>
      <c r="D4" s="51" t="s">
        <v>267</v>
      </c>
      <c r="E4" s="46"/>
      <c r="F4" s="47"/>
    </row>
    <row r="5" spans="2:6" x14ac:dyDescent="0.3">
      <c r="B5" s="23">
        <v>1</v>
      </c>
      <c r="C5" s="29" t="s">
        <v>61</v>
      </c>
      <c r="D5" s="22" t="s">
        <v>182</v>
      </c>
      <c r="E5" s="22"/>
      <c r="F5" s="21"/>
    </row>
    <row r="6" spans="2:6" ht="50.1" customHeight="1" x14ac:dyDescent="0.3">
      <c r="B6" s="23">
        <v>2</v>
      </c>
      <c r="C6" s="30" t="s">
        <v>48</v>
      </c>
      <c r="D6" s="19" t="s">
        <v>183</v>
      </c>
      <c r="E6" s="35" t="s">
        <v>62</v>
      </c>
      <c r="F6" s="18" t="s">
        <v>63</v>
      </c>
    </row>
    <row r="7" spans="2:6" ht="30.1" customHeight="1" x14ac:dyDescent="0.3">
      <c r="B7" s="23">
        <v>3</v>
      </c>
      <c r="C7" s="30" t="s">
        <v>64</v>
      </c>
      <c r="D7" s="192" t="s">
        <v>244</v>
      </c>
      <c r="E7" s="35" t="s">
        <v>217</v>
      </c>
      <c r="F7" s="18" t="s">
        <v>184</v>
      </c>
    </row>
    <row r="8" spans="2:6" ht="30.1" customHeight="1" x14ac:dyDescent="0.3">
      <c r="B8" s="23">
        <v>4</v>
      </c>
      <c r="C8" s="30" t="s">
        <v>65</v>
      </c>
      <c r="D8" s="193"/>
      <c r="E8" s="35" t="s">
        <v>185</v>
      </c>
      <c r="F8" s="18" t="s">
        <v>184</v>
      </c>
    </row>
    <row r="9" spans="2:6" ht="30.1" customHeight="1" x14ac:dyDescent="0.3">
      <c r="B9" s="23">
        <v>5</v>
      </c>
      <c r="C9" s="30" t="s">
        <v>66</v>
      </c>
      <c r="D9" s="194"/>
      <c r="E9" s="35" t="s">
        <v>185</v>
      </c>
      <c r="F9" s="18" t="s">
        <v>184</v>
      </c>
    </row>
    <row r="10" spans="2:6" ht="31.25" x14ac:dyDescent="0.3">
      <c r="B10" s="23">
        <v>6</v>
      </c>
      <c r="C10" s="30" t="s">
        <v>214</v>
      </c>
      <c r="D10" s="25" t="s">
        <v>230</v>
      </c>
      <c r="E10" s="35" t="s">
        <v>223</v>
      </c>
      <c r="F10" s="18" t="s">
        <v>184</v>
      </c>
    </row>
    <row r="11" spans="2:6" ht="87.65" customHeight="1" x14ac:dyDescent="0.3">
      <c r="B11" s="23">
        <v>7</v>
      </c>
      <c r="C11" s="30" t="s">
        <v>186</v>
      </c>
      <c r="D11" s="19" t="s">
        <v>243</v>
      </c>
      <c r="E11" s="35" t="s">
        <v>247</v>
      </c>
      <c r="F11" s="18" t="s">
        <v>248</v>
      </c>
    </row>
    <row r="12" spans="2:6" ht="30.1" customHeight="1" x14ac:dyDescent="0.3">
      <c r="B12" s="23">
        <v>8</v>
      </c>
      <c r="C12" s="30" t="s">
        <v>187</v>
      </c>
      <c r="D12" s="195" t="s">
        <v>250</v>
      </c>
      <c r="E12" s="35" t="s">
        <v>188</v>
      </c>
      <c r="F12" s="18"/>
    </row>
    <row r="13" spans="2:6" ht="30.1" customHeight="1" x14ac:dyDescent="0.3">
      <c r="B13" s="23">
        <v>9</v>
      </c>
      <c r="C13" s="30" t="s">
        <v>5</v>
      </c>
      <c r="D13" s="196"/>
      <c r="E13" s="35" t="s">
        <v>189</v>
      </c>
      <c r="F13" s="18"/>
    </row>
    <row r="14" spans="2:6" ht="30.1" customHeight="1" x14ac:dyDescent="0.3">
      <c r="B14" s="23">
        <v>10</v>
      </c>
      <c r="C14" s="30" t="s">
        <v>6</v>
      </c>
      <c r="D14" s="196"/>
      <c r="E14" s="35" t="s">
        <v>190</v>
      </c>
      <c r="F14" s="18"/>
    </row>
    <row r="15" spans="2:6" x14ac:dyDescent="0.3">
      <c r="B15" s="23">
        <v>11</v>
      </c>
      <c r="C15" s="30" t="s">
        <v>49</v>
      </c>
      <c r="D15" s="19" t="s">
        <v>191</v>
      </c>
      <c r="E15" s="35" t="s">
        <v>185</v>
      </c>
      <c r="F15" s="18" t="s">
        <v>192</v>
      </c>
    </row>
    <row r="16" spans="2:6" x14ac:dyDescent="0.3">
      <c r="B16" s="23">
        <v>12</v>
      </c>
      <c r="C16" s="30" t="s">
        <v>7</v>
      </c>
      <c r="D16" s="19" t="s">
        <v>67</v>
      </c>
      <c r="E16" s="35" t="s">
        <v>68</v>
      </c>
      <c r="F16" s="18" t="s">
        <v>69</v>
      </c>
    </row>
    <row r="17" spans="2:6" x14ac:dyDescent="0.3">
      <c r="B17" s="23">
        <v>13</v>
      </c>
      <c r="C17" s="30" t="s">
        <v>50</v>
      </c>
      <c r="D17" s="19" t="s">
        <v>70</v>
      </c>
      <c r="E17" s="35" t="s">
        <v>71</v>
      </c>
      <c r="F17" s="18" t="s">
        <v>72</v>
      </c>
    </row>
    <row r="18" spans="2:6" ht="50.1" customHeight="1" x14ac:dyDescent="0.3">
      <c r="B18" s="23">
        <v>14</v>
      </c>
      <c r="C18" s="30" t="s">
        <v>193</v>
      </c>
      <c r="D18" s="19" t="s">
        <v>231</v>
      </c>
      <c r="E18" s="35" t="s">
        <v>255</v>
      </c>
      <c r="F18" s="18"/>
    </row>
    <row r="19" spans="2:6" ht="35.15" customHeight="1" x14ac:dyDescent="0.3">
      <c r="B19" s="23">
        <v>15</v>
      </c>
      <c r="C19" s="30" t="s">
        <v>11</v>
      </c>
      <c r="D19" s="19" t="s">
        <v>218</v>
      </c>
      <c r="E19" s="35" t="s">
        <v>73</v>
      </c>
      <c r="F19" s="18" t="s">
        <v>74</v>
      </c>
    </row>
    <row r="20" spans="2:6" ht="35.15" customHeight="1" x14ac:dyDescent="0.3">
      <c r="B20" s="23">
        <v>16</v>
      </c>
      <c r="C20" s="30" t="s">
        <v>12</v>
      </c>
      <c r="D20" s="19" t="s">
        <v>219</v>
      </c>
      <c r="E20" s="35" t="s">
        <v>75</v>
      </c>
      <c r="F20" s="18" t="s">
        <v>76</v>
      </c>
    </row>
    <row r="21" spans="2:6" ht="17.850000000000001" customHeight="1" x14ac:dyDescent="0.3">
      <c r="B21" s="23">
        <v>17</v>
      </c>
      <c r="C21" s="30" t="s">
        <v>13</v>
      </c>
      <c r="D21" s="19" t="s">
        <v>220</v>
      </c>
      <c r="E21" s="35" t="s">
        <v>77</v>
      </c>
      <c r="F21" s="18" t="s">
        <v>194</v>
      </c>
    </row>
    <row r="22" spans="2:6" ht="17.850000000000001" customHeight="1" x14ac:dyDescent="0.3">
      <c r="B22" s="23">
        <v>18</v>
      </c>
      <c r="C22" s="30" t="s">
        <v>78</v>
      </c>
      <c r="D22" s="20" t="s">
        <v>251</v>
      </c>
      <c r="E22" s="35"/>
      <c r="F22" s="18"/>
    </row>
    <row r="23" spans="2:6" ht="35.15" customHeight="1" x14ac:dyDescent="0.3">
      <c r="B23" s="23">
        <v>19</v>
      </c>
      <c r="C23" s="31" t="s">
        <v>195</v>
      </c>
      <c r="D23" s="20" t="s">
        <v>221</v>
      </c>
      <c r="E23" s="35" t="s">
        <v>79</v>
      </c>
      <c r="F23" s="18" t="s">
        <v>80</v>
      </c>
    </row>
    <row r="24" spans="2:6" x14ac:dyDescent="0.3">
      <c r="B24" s="23">
        <v>20</v>
      </c>
      <c r="C24" s="31" t="s">
        <v>196</v>
      </c>
      <c r="D24" s="20" t="s">
        <v>251</v>
      </c>
      <c r="E24" s="35"/>
      <c r="F24" s="18"/>
    </row>
    <row r="25" spans="2:6" ht="35.15" customHeight="1" x14ac:dyDescent="0.3">
      <c r="B25" s="23">
        <v>21</v>
      </c>
      <c r="C25" s="31" t="s">
        <v>197</v>
      </c>
      <c r="D25" s="20" t="s">
        <v>258</v>
      </c>
      <c r="E25" s="35" t="s">
        <v>257</v>
      </c>
      <c r="F25" s="18" t="s">
        <v>256</v>
      </c>
    </row>
    <row r="26" spans="2:6" ht="31.25" x14ac:dyDescent="0.3">
      <c r="B26" s="23">
        <v>22</v>
      </c>
      <c r="C26" s="31" t="s">
        <v>81</v>
      </c>
      <c r="D26" s="20" t="s">
        <v>237</v>
      </c>
      <c r="E26" s="35" t="s">
        <v>198</v>
      </c>
      <c r="F26" s="18"/>
    </row>
    <row r="27" spans="2:6" ht="31.25" x14ac:dyDescent="0.3">
      <c r="B27" s="23">
        <v>23</v>
      </c>
      <c r="C27" s="31" t="s">
        <v>199</v>
      </c>
      <c r="D27" s="20" t="s">
        <v>259</v>
      </c>
      <c r="E27" s="35" t="s">
        <v>232</v>
      </c>
      <c r="F27" s="18" t="s">
        <v>233</v>
      </c>
    </row>
    <row r="28" spans="2:6" ht="100.4" customHeight="1" x14ac:dyDescent="0.3">
      <c r="B28" s="23">
        <v>24</v>
      </c>
      <c r="C28" s="31" t="s">
        <v>200</v>
      </c>
      <c r="D28" s="20" t="s">
        <v>268</v>
      </c>
      <c r="E28" s="35" t="s">
        <v>269</v>
      </c>
      <c r="F28" s="18" t="s">
        <v>270</v>
      </c>
    </row>
    <row r="29" spans="2:6" ht="31.25" x14ac:dyDescent="0.3">
      <c r="B29" s="23">
        <v>25</v>
      </c>
      <c r="C29" s="31" t="s">
        <v>261</v>
      </c>
      <c r="D29" s="19" t="s">
        <v>239</v>
      </c>
      <c r="E29" s="35" t="s">
        <v>201</v>
      </c>
      <c r="F29" s="18" t="s">
        <v>202</v>
      </c>
    </row>
    <row r="30" spans="2:6" ht="31.25" x14ac:dyDescent="0.3">
      <c r="B30" s="23">
        <v>26</v>
      </c>
      <c r="C30" s="31" t="s">
        <v>262</v>
      </c>
      <c r="D30" s="19" t="s">
        <v>222</v>
      </c>
      <c r="E30" s="35" t="s">
        <v>82</v>
      </c>
      <c r="F30" s="18" t="s">
        <v>83</v>
      </c>
    </row>
    <row r="31" spans="2:6" x14ac:dyDescent="0.3">
      <c r="B31" s="23">
        <v>27</v>
      </c>
      <c r="C31" s="31" t="s">
        <v>260</v>
      </c>
      <c r="D31" s="19" t="s">
        <v>203</v>
      </c>
      <c r="E31" s="35" t="s">
        <v>240</v>
      </c>
      <c r="F31" s="18"/>
    </row>
    <row r="32" spans="2:6" ht="50.1" customHeight="1" x14ac:dyDescent="0.3">
      <c r="B32" s="23">
        <v>28</v>
      </c>
      <c r="C32" s="31" t="s">
        <v>263</v>
      </c>
      <c r="D32" s="19" t="s">
        <v>235</v>
      </c>
      <c r="E32" s="35" t="s">
        <v>84</v>
      </c>
      <c r="F32" s="18" t="s">
        <v>241</v>
      </c>
    </row>
    <row r="33" spans="2:6" ht="100.4" customHeight="1" x14ac:dyDescent="0.3">
      <c r="B33" s="23">
        <v>29</v>
      </c>
      <c r="C33" s="31" t="s">
        <v>264</v>
      </c>
      <c r="D33" s="19" t="s">
        <v>242</v>
      </c>
      <c r="E33" s="35" t="s">
        <v>236</v>
      </c>
      <c r="F33" s="18" t="s">
        <v>234</v>
      </c>
    </row>
    <row r="34" spans="2:6" ht="125.15" customHeight="1" x14ac:dyDescent="0.3">
      <c r="B34" s="23">
        <v>30</v>
      </c>
      <c r="C34" s="31" t="s">
        <v>265</v>
      </c>
      <c r="D34" s="19" t="s">
        <v>274</v>
      </c>
      <c r="E34" s="35" t="s">
        <v>271</v>
      </c>
      <c r="F34" s="18" t="s">
        <v>272</v>
      </c>
    </row>
    <row r="35" spans="2:6" ht="50.1" customHeight="1" x14ac:dyDescent="0.3">
      <c r="B35" s="23">
        <v>31</v>
      </c>
      <c r="C35" s="32" t="s">
        <v>266</v>
      </c>
      <c r="D35" s="17" t="s">
        <v>253</v>
      </c>
      <c r="E35" s="36" t="s">
        <v>252</v>
      </c>
      <c r="F35" s="16"/>
    </row>
    <row r="36" spans="2:6" ht="182.9" customHeight="1" x14ac:dyDescent="0.3">
      <c r="B36" s="23">
        <v>32</v>
      </c>
      <c r="C36" s="32" t="s">
        <v>215</v>
      </c>
      <c r="D36" s="19" t="s">
        <v>254</v>
      </c>
      <c r="E36" s="36"/>
      <c r="F36" s="16"/>
    </row>
    <row r="37" spans="2:6" ht="45" customHeight="1" x14ac:dyDescent="0.3">
      <c r="B37" s="23">
        <v>33</v>
      </c>
      <c r="C37" s="33" t="s">
        <v>204</v>
      </c>
      <c r="D37" s="53" t="s">
        <v>238</v>
      </c>
      <c r="E37" s="52" t="s">
        <v>249</v>
      </c>
      <c r="F37" s="14"/>
    </row>
    <row r="38" spans="2:6" ht="35.15" customHeight="1" x14ac:dyDescent="0.3">
      <c r="B38" s="23">
        <v>34</v>
      </c>
      <c r="C38" s="33" t="s">
        <v>85</v>
      </c>
      <c r="D38" s="15" t="s">
        <v>86</v>
      </c>
      <c r="E38" s="37" t="s">
        <v>205</v>
      </c>
      <c r="F38" s="14"/>
    </row>
    <row r="39" spans="2:6" ht="35.15" customHeight="1" x14ac:dyDescent="0.3">
      <c r="B39" s="23">
        <v>35</v>
      </c>
      <c r="C39" s="33" t="s">
        <v>87</v>
      </c>
      <c r="D39" s="15" t="s">
        <v>88</v>
      </c>
      <c r="E39" s="37" t="s">
        <v>206</v>
      </c>
      <c r="F39" s="14"/>
    </row>
    <row r="40" spans="2:6" ht="35.15" customHeight="1" x14ac:dyDescent="0.3">
      <c r="B40" s="23">
        <v>36</v>
      </c>
      <c r="C40" s="33" t="s">
        <v>89</v>
      </c>
      <c r="D40" s="15" t="s">
        <v>90</v>
      </c>
      <c r="E40" s="37" t="s">
        <v>91</v>
      </c>
      <c r="F40" s="14" t="s">
        <v>92</v>
      </c>
    </row>
    <row r="41" spans="2:6" ht="35.15" customHeight="1" x14ac:dyDescent="0.3">
      <c r="B41" s="23">
        <v>37</v>
      </c>
      <c r="C41" s="33" t="s">
        <v>93</v>
      </c>
      <c r="D41" s="15" t="s">
        <v>207</v>
      </c>
      <c r="E41" s="37" t="s">
        <v>208</v>
      </c>
      <c r="F41" s="14" t="s">
        <v>209</v>
      </c>
    </row>
    <row r="42" spans="2:6" ht="50.1" customHeight="1" x14ac:dyDescent="0.3">
      <c r="B42" s="23">
        <v>38</v>
      </c>
      <c r="C42" s="33" t="s">
        <v>94</v>
      </c>
      <c r="D42" s="15" t="s">
        <v>95</v>
      </c>
      <c r="E42" s="37" t="s">
        <v>91</v>
      </c>
      <c r="F42" s="14" t="s">
        <v>92</v>
      </c>
    </row>
    <row r="43" spans="2:6" ht="50.1" customHeight="1" x14ac:dyDescent="0.3">
      <c r="B43" s="23">
        <v>39</v>
      </c>
      <c r="C43" s="33" t="s">
        <v>96</v>
      </c>
      <c r="D43" s="15" t="s">
        <v>210</v>
      </c>
      <c r="E43" s="37" t="s">
        <v>208</v>
      </c>
      <c r="F43" s="14" t="s">
        <v>209</v>
      </c>
    </row>
    <row r="44" spans="2:6" ht="50.1" customHeight="1" x14ac:dyDescent="0.3">
      <c r="B44" s="23">
        <v>40</v>
      </c>
      <c r="C44" s="33" t="s">
        <v>97</v>
      </c>
      <c r="D44" s="15" t="s">
        <v>95</v>
      </c>
      <c r="E44" s="37" t="s">
        <v>91</v>
      </c>
      <c r="F44" s="14" t="s">
        <v>92</v>
      </c>
    </row>
    <row r="45" spans="2:6" ht="50.1" customHeight="1" thickBot="1" x14ac:dyDescent="0.35">
      <c r="B45" s="23">
        <v>41</v>
      </c>
      <c r="C45" s="34" t="s">
        <v>98</v>
      </c>
      <c r="D45" s="13" t="s">
        <v>211</v>
      </c>
      <c r="E45" s="38" t="s">
        <v>212</v>
      </c>
      <c r="F45" s="12" t="s">
        <v>213</v>
      </c>
    </row>
  </sheetData>
  <mergeCells count="4">
    <mergeCell ref="B1:F1"/>
    <mergeCell ref="B2:F2"/>
    <mergeCell ref="D7:D9"/>
    <mergeCell ref="D12:D14"/>
  </mergeCells>
  <phoneticPr fontId="2" type="noConversion"/>
  <pageMargins left="0.7" right="0.7" top="0.75" bottom="0.75" header="0.3" footer="0.3"/>
  <pageSetup paperSize="9"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내신조사서</vt:lpstr>
      <vt:lpstr>작성 방법</vt:lpstr>
      <vt:lpstr>내신조사서!Print_Area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교무실6</dc:creator>
  <cp:keywords/>
  <dc:description/>
  <cp:lastModifiedBy>홍재 김</cp:lastModifiedBy>
  <cp:revision/>
  <cp:lastPrinted>2023-08-29T07:34:37Z</cp:lastPrinted>
  <dcterms:created xsi:type="dcterms:W3CDTF">2014-12-19T05:34:19Z</dcterms:created>
  <dcterms:modified xsi:type="dcterms:W3CDTF">2025-11-25T07:14:20Z</dcterms:modified>
  <cp:category/>
  <cp:contentStatus/>
</cp:coreProperties>
</file>