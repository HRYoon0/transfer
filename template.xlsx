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현재_통합_문서"/>
  <bookViews>
    <workbookView visibility="visible" minimized="0" showHorizontalScroll="1" showVerticalScroll="1" showSheetTabs="1" xWindow="0" yWindow="800" windowWidth="36000" windowHeight="22580" tabRatio="600" firstSheet="0" activeTab="0" autoFilterDateGrouping="1"/>
  </bookViews>
  <sheets>
    <sheet name="내신조사서" sheetId="1" state="visible" r:id="rId1"/>
    <sheet name="작성 방법" sheetId="2" state="visible" r:id="rId2"/>
  </sheets>
  <definedNames>
    <definedName name="_xlnm.Print_Area" localSheetId="0">'내신조사서'!$B$3:$Q$38</definedName>
  </definedNames>
  <calcPr calcId="191029" fullCalcOnLoad="1"/>
</workbook>
</file>

<file path=xl/styles.xml><?xml version="1.0" encoding="utf-8"?>
<styleSheet xmlns="http://schemas.openxmlformats.org/spreadsheetml/2006/main">
  <numFmts count="4">
    <numFmt numFmtId="164" formatCode="0.00_ "/>
    <numFmt numFmtId="165" formatCode="0.000_ "/>
    <numFmt numFmtId="166" formatCode="0.000_);[Red]\(0.000\)"/>
    <numFmt numFmtId="167" formatCode="#,##0.000_ "/>
  </numFmts>
  <fonts count="36">
    <font>
      <name val="맑은 고딕"/>
      <charset val="129"/>
      <family val="2"/>
      <color theme="1"/>
      <sz val="11"/>
      <scheme val="minor"/>
    </font>
    <font>
      <name val="돋움"/>
      <charset val="129"/>
      <family val="3"/>
      <sz val="11"/>
    </font>
    <font>
      <name val="맑은 고딕"/>
      <charset val="129"/>
      <family val="2"/>
      <sz val="8"/>
      <scheme val="minor"/>
    </font>
    <font>
      <name val="돋움"/>
      <charset val="129"/>
      <family val="3"/>
      <sz val="9"/>
    </font>
    <font>
      <name val="HY신명조"/>
      <charset val="129"/>
      <family val="1"/>
      <b val="1"/>
      <sz val="20"/>
    </font>
    <font>
      <name val="돋움"/>
      <charset val="129"/>
      <family val="3"/>
      <sz val="8"/>
    </font>
    <font>
      <name val="HY신명조"/>
      <charset val="129"/>
      <family val="1"/>
      <sz val="9"/>
    </font>
    <font>
      <name val="HY신명조"/>
      <charset val="129"/>
      <family val="1"/>
      <b val="1"/>
      <sz val="14"/>
    </font>
    <font>
      <name val="HY신명조"/>
      <charset val="129"/>
      <family val="1"/>
      <sz val="12"/>
    </font>
    <font>
      <name val="HY신명조"/>
      <charset val="129"/>
      <family val="1"/>
      <b val="1"/>
      <sz val="12"/>
    </font>
    <font>
      <name val="맑은 고딕"/>
      <charset val="129"/>
      <family val="3"/>
      <color theme="1"/>
      <sz val="11"/>
      <scheme val="minor"/>
    </font>
    <font>
      <name val="돋움"/>
      <charset val="129"/>
      <family val="3"/>
      <sz val="12"/>
    </font>
    <font>
      <name val="돋움"/>
      <charset val="129"/>
      <family val="3"/>
      <b val="1"/>
      <sz val="14"/>
    </font>
    <font>
      <name val="맑은 고딕"/>
      <charset val="129"/>
      <family val="3"/>
      <b val="1"/>
      <color theme="1"/>
      <sz val="12"/>
      <scheme val="minor"/>
    </font>
    <font>
      <name val="맑은 고딕"/>
      <charset val="129"/>
      <family val="3"/>
      <b val="1"/>
      <color rgb="FFFF0000"/>
      <sz val="12"/>
      <scheme val="minor"/>
    </font>
    <font>
      <name val="맑은 고딕"/>
      <charset val="129"/>
      <family val="3"/>
      <color rgb="FFFF0000"/>
      <sz val="11"/>
      <scheme val="minor"/>
    </font>
    <font>
      <name val="맑은 고딕"/>
      <charset val="129"/>
      <family val="3"/>
      <b val="1"/>
      <color rgb="FFFF0000"/>
      <sz val="11"/>
      <scheme val="minor"/>
    </font>
    <font>
      <name val="맑은 고딕"/>
      <charset val="129"/>
      <family val="2"/>
      <color theme="1"/>
      <sz val="12"/>
      <scheme val="minor"/>
    </font>
    <font>
      <name val="맑은 고딕"/>
      <charset val="129"/>
      <family val="3"/>
      <b val="1"/>
      <color theme="1"/>
      <sz val="22"/>
      <scheme val="minor"/>
    </font>
    <font>
      <name val="맑은 고딕"/>
      <charset val="129"/>
      <family val="3"/>
      <sz val="11"/>
      <scheme val="minor"/>
    </font>
    <font>
      <name val="맑은 고딕"/>
      <charset val="129"/>
      <family val="3"/>
      <b val="1"/>
      <color theme="1"/>
      <sz val="11"/>
      <scheme val="minor"/>
    </font>
    <font>
      <name val="맑은 고딕"/>
      <charset val="129"/>
      <family val="3"/>
      <b val="1"/>
      <color rgb="FF0000FF"/>
      <sz val="11"/>
      <scheme val="minor"/>
    </font>
    <font>
      <name val="HY견명조"/>
      <charset val="129"/>
      <family val="1"/>
      <b val="1"/>
      <color rgb="FF0000FF"/>
      <sz val="11"/>
    </font>
    <font>
      <name val="맑은 고딕"/>
      <charset val="129"/>
      <family val="3"/>
      <b val="1"/>
      <color rgb="FF0000FF"/>
      <sz val="11"/>
    </font>
    <font>
      <name val="맑은 고딕"/>
      <charset val="129"/>
      <family val="2"/>
      <b val="1"/>
      <color rgb="FF0000FF"/>
      <sz val="11"/>
      <scheme val="minor"/>
    </font>
    <font>
      <name val="맑은 고딕"/>
      <charset val="129"/>
      <family val="2"/>
      <b val="1"/>
      <color rgb="FFFF0000"/>
      <sz val="11"/>
      <scheme val="minor"/>
    </font>
    <font>
      <name val="맑은 고딕"/>
      <charset val="129"/>
      <family val="3"/>
      <b val="1"/>
      <sz val="11"/>
      <scheme val="minor"/>
    </font>
    <font>
      <name val="돋움"/>
      <charset val="129"/>
      <family val="3"/>
      <color theme="0"/>
      <sz val="9"/>
    </font>
    <font>
      <name val="맑은 고딕"/>
      <charset val="129"/>
      <family val="3"/>
      <b val="1"/>
      <color theme="1"/>
      <sz val="10"/>
    </font>
    <font>
      <name val="맑은 고딕"/>
      <charset val="129"/>
      <family val="3"/>
      <b val="1"/>
      <color rgb="FFFF0000"/>
      <sz val="10"/>
    </font>
    <font>
      <name val="맑은 고딕"/>
      <charset val="129"/>
      <family val="3"/>
      <b val="1"/>
      <color rgb="FF0000FF"/>
      <sz val="10"/>
    </font>
    <font>
      <name val="맑은 고딕"/>
      <charset val="129"/>
      <family val="3"/>
      <color theme="1"/>
      <sz val="10"/>
    </font>
    <font>
      <name val="맑은 고딕"/>
      <charset val="129"/>
      <family val="3"/>
      <b val="1"/>
      <color theme="1"/>
      <sz val="10"/>
      <scheme val="minor"/>
    </font>
    <font>
      <name val="맑은 고딕"/>
      <charset val="129"/>
      <family val="3"/>
      <b val="1"/>
      <color rgb="FFFF0000"/>
      <sz val="11"/>
    </font>
    <font>
      <name val="맑은 고딕"/>
      <charset val="129"/>
      <family val="3"/>
      <b val="1"/>
      <color rgb="FF0000FF"/>
      <sz val="12"/>
      <scheme val="minor"/>
    </font>
    <font>
      <name val="맑은 고딕"/>
      <charset val="129"/>
      <family val="3"/>
      <b val="1"/>
      <color rgb="FF0000FF"/>
      <sz val="10"/>
      <scheme val="minor"/>
    </font>
  </fonts>
  <fills count="6">
    <fill>
      <patternFill/>
    </fill>
    <fill>
      <patternFill patternType="gray125"/>
    </fill>
    <fill>
      <patternFill patternType="solid">
        <fgColor rgb="FFFFFF00"/>
        <bgColor indexed="64"/>
      </patternFill>
    </fill>
    <fill>
      <patternFill patternType="solid">
        <fgColor rgb="FFFFFFCC"/>
        <bgColor indexed="64"/>
      </patternFill>
    </fill>
    <fill>
      <patternFill patternType="solid">
        <fgColor theme="0" tint="-0.1499984740745262"/>
        <bgColor indexed="64"/>
      </patternFill>
    </fill>
    <fill>
      <patternFill patternType="solid">
        <fgColor rgb="FFFFC000"/>
        <bgColor indexed="64"/>
      </patternFill>
    </fill>
  </fills>
  <borders count="74">
    <border>
      <left/>
      <right/>
      <top/>
      <bottom/>
      <diagonal/>
    </border>
    <border>
      <left/>
      <right/>
      <top/>
      <bottom style="medium">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style="medium">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thin">
        <color indexed="64"/>
      </right>
      <top/>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medium">
        <color indexed="64"/>
      </left>
      <right/>
      <top style="medium">
        <color indexed="64"/>
      </top>
      <bottom/>
      <diagonal/>
    </border>
    <border>
      <left/>
      <right/>
      <top style="medium">
        <color indexed="64"/>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right style="medium">
        <color indexed="64"/>
      </right>
      <top style="thin">
        <color indexed="64"/>
      </top>
      <bottom style="thin">
        <color indexed="64"/>
      </bottom>
      <diagonal/>
    </border>
    <border>
      <left style="medium">
        <color indexed="64"/>
      </left>
      <right style="thin">
        <color indexed="64"/>
      </right>
      <top/>
      <bottom style="medium">
        <color indexed="64"/>
      </bottom>
      <diagonal/>
    </border>
    <border>
      <left/>
      <right style="medium">
        <color indexed="64"/>
      </right>
      <top style="thin">
        <color indexed="64"/>
      </top>
      <bottom/>
      <diagonal/>
    </border>
    <border>
      <left/>
      <right style="medium">
        <color indexed="64"/>
      </right>
      <top/>
      <bottom/>
      <diagonal/>
    </border>
    <border>
      <left/>
      <right style="medium">
        <color indexed="64"/>
      </right>
      <top/>
      <bottom style="medium">
        <color indexed="64"/>
      </bottom>
      <diagonal/>
    </border>
    <border diagonalUp="1">
      <left style="medium">
        <color indexed="64"/>
      </left>
      <right/>
      <top style="medium">
        <color indexed="64"/>
      </top>
      <bottom/>
      <diagonal style="thin">
        <color indexed="64"/>
      </diagonal>
    </border>
    <border diagonalUp="1">
      <left/>
      <right/>
      <top style="medium">
        <color indexed="64"/>
      </top>
      <bottom/>
      <diagonal style="thin">
        <color indexed="64"/>
      </diagonal>
    </border>
    <border diagonalUp="1">
      <left/>
      <right style="medium">
        <color indexed="64"/>
      </right>
      <top style="medium">
        <color indexed="64"/>
      </top>
      <bottom/>
      <diagonal style="thin">
        <color indexed="64"/>
      </diagonal>
    </border>
    <border diagonalUp="1">
      <left style="medium">
        <color indexed="64"/>
      </left>
      <right/>
      <top/>
      <bottom style="medium">
        <color indexed="64"/>
      </bottom>
      <diagonal style="thin">
        <color indexed="64"/>
      </diagonal>
    </border>
    <border diagonalUp="1">
      <left/>
      <right/>
      <top/>
      <bottom style="medium">
        <color indexed="64"/>
      </bottom>
      <diagonal style="thin">
        <color indexed="64"/>
      </diagonal>
    </border>
    <border diagonalUp="1">
      <left/>
      <right style="medium">
        <color indexed="64"/>
      </right>
      <top/>
      <bottom style="medium">
        <color indexed="64"/>
      </bottom>
      <diagonal style="thin">
        <color indexed="64"/>
      </diagonal>
    </border>
    <border>
      <left style="medium">
        <color indexed="64"/>
      </left>
      <right/>
      <top style="thin">
        <color indexed="64"/>
      </top>
      <bottom style="thin">
        <color indexed="64"/>
      </bottom>
      <diagonal/>
    </border>
    <border>
      <left style="thin">
        <color indexed="64"/>
      </left>
      <right style="thin">
        <color indexed="64"/>
      </right>
      <top/>
      <bottom/>
      <diagonal/>
    </border>
    <border>
      <left style="medium">
        <color indexed="64"/>
      </left>
      <right style="thin">
        <color indexed="64"/>
      </right>
      <top style="double">
        <color indexed="64"/>
      </top>
      <bottom style="thin">
        <color indexed="64"/>
      </bottom>
      <diagonal/>
    </border>
    <border>
      <left style="thin">
        <color indexed="64"/>
      </left>
      <right style="thin">
        <color indexed="64"/>
      </right>
      <top style="double">
        <color indexed="64"/>
      </top>
      <bottom style="thin">
        <color indexed="64"/>
      </bottom>
      <diagonal/>
    </border>
    <border>
      <left style="thin">
        <color indexed="64"/>
      </left>
      <right style="medium">
        <color indexed="64"/>
      </right>
      <top style="double">
        <color indexed="64"/>
      </top>
      <bottom style="thin">
        <color indexed="64"/>
      </bottom>
      <diagonal/>
    </border>
    <border>
      <left/>
      <right/>
      <top style="thin">
        <color indexed="64"/>
      </top>
      <bottom/>
      <diagonal/>
    </border>
    <border>
      <left style="thin">
        <color indexed="64"/>
      </left>
      <right style="thin">
        <color indexed="64"/>
      </right>
      <top style="medium">
        <color indexed="64"/>
      </top>
      <bottom/>
      <diagonal/>
    </border>
    <border>
      <left style="medium">
        <color indexed="64"/>
      </left>
      <right/>
      <top/>
      <bottom/>
      <diagonal/>
    </border>
    <border>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top style="medium">
        <color indexed="64"/>
      </top>
      <bottom style="medium">
        <color auto="1"/>
      </bottom>
      <diagonal/>
    </border>
    <border>
      <left style="medium">
        <color indexed="64"/>
      </left>
      <right/>
      <top/>
      <bottom style="medium">
        <color auto="1"/>
      </bottom>
      <diagonal/>
    </border>
    <border diagonalUp="1">
      <left style="medium">
        <color indexed="64"/>
      </left>
      <right style="medium">
        <color indexed="64"/>
      </right>
      <top style="medium">
        <color indexed="64"/>
      </top>
      <bottom style="medium">
        <color indexed="64"/>
      </bottom>
      <diagonal style="thin">
        <color indexed="64"/>
      </diagonal>
    </border>
    <border>
      <left/>
      <right style="medium">
        <color indexed="64"/>
      </right>
      <top style="medium">
        <color indexed="64"/>
      </top>
      <bottom/>
      <diagonal/>
    </border>
    <border>
      <left/>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thin">
        <color indexed="64"/>
      </bottom>
      <diagonal/>
    </border>
    <border>
      <left style="medium">
        <color indexed="64"/>
      </left>
      <right style="thin">
        <color indexed="64"/>
      </right>
      <top style="medium">
        <color indexed="64"/>
      </top>
      <bottom style="medium">
        <color indexed="64"/>
      </bottom>
      <diagonal/>
    </border>
  </borders>
  <cellStyleXfs count="3">
    <xf numFmtId="0" fontId="0" fillId="0" borderId="0" applyAlignment="1">
      <alignment vertical="center"/>
    </xf>
    <xf numFmtId="0" fontId="1" fillId="0" borderId="0" applyAlignment="1">
      <alignment vertical="center"/>
    </xf>
    <xf numFmtId="0" fontId="10" fillId="0" borderId="0" applyAlignment="1">
      <alignment vertical="center"/>
    </xf>
  </cellStyleXfs>
  <cellXfs count="273">
    <xf numFmtId="0" fontId="0" fillId="0" borderId="0" applyAlignment="1" pivotButton="0" quotePrefix="0" xfId="0">
      <alignment vertical="center"/>
    </xf>
    <xf numFmtId="0" fontId="3" fillId="0" borderId="0" applyAlignment="1" pivotButton="0" quotePrefix="0" xfId="1">
      <alignment horizontal="center" vertical="center"/>
    </xf>
    <xf numFmtId="0" fontId="6" fillId="0" borderId="0" applyAlignment="1" pivotButton="0" quotePrefix="0" xfId="1">
      <alignment horizontal="center" vertical="center"/>
    </xf>
    <xf numFmtId="0" fontId="6" fillId="0" borderId="0" applyAlignment="1" pivotButton="0" quotePrefix="0" xfId="1">
      <alignment vertical="center"/>
    </xf>
    <xf numFmtId="14" fontId="3" fillId="0" borderId="0" applyAlignment="1" pivotButton="0" quotePrefix="0" xfId="1">
      <alignment horizontal="center" vertical="center"/>
    </xf>
    <xf numFmtId="0" fontId="3" fillId="0" borderId="0" applyAlignment="1" pivotButton="0" quotePrefix="0" xfId="1">
      <alignment horizontal="center" vertical="center" wrapText="1"/>
    </xf>
    <xf numFmtId="31" fontId="3" fillId="0" borderId="0" applyAlignment="1" pivotButton="0" quotePrefix="0" xfId="1">
      <alignment horizontal="center" vertical="center"/>
    </xf>
    <xf numFmtId="164" fontId="8" fillId="0" borderId="9" applyAlignment="1" applyProtection="1" pivotButton="0" quotePrefix="0" xfId="1">
      <alignment horizontal="center" vertical="center" wrapText="1"/>
      <protection locked="0" hidden="0"/>
    </xf>
    <xf numFmtId="0" fontId="11" fillId="0" borderId="0" applyAlignment="1" pivotButton="0" quotePrefix="0" xfId="1">
      <alignment horizontal="center" vertical="center"/>
    </xf>
    <xf numFmtId="0" fontId="0" fillId="0" borderId="0" applyAlignment="1" pivotButton="0" quotePrefix="0" xfId="0">
      <alignment horizontal="center" vertical="center"/>
    </xf>
    <xf numFmtId="0" fontId="0" fillId="0" borderId="0" applyAlignment="1" pivotButton="0" quotePrefix="0" xfId="0">
      <alignment vertical="center" wrapText="1"/>
    </xf>
    <xf numFmtId="164" fontId="3" fillId="0" borderId="0" applyAlignment="1" pivotButton="0" quotePrefix="0" xfId="1">
      <alignment horizontal="center" vertical="center"/>
    </xf>
    <xf numFmtId="0" fontId="0" fillId="4" borderId="19" applyAlignment="1" pivotButton="0" quotePrefix="0" xfId="0">
      <alignment vertical="center" wrapText="1"/>
    </xf>
    <xf numFmtId="0" fontId="0" fillId="4" borderId="15" applyAlignment="1" pivotButton="0" quotePrefix="0" xfId="0">
      <alignment vertical="center" wrapText="1"/>
    </xf>
    <xf numFmtId="0" fontId="0" fillId="4" borderId="13" applyAlignment="1" pivotButton="0" quotePrefix="0" xfId="0">
      <alignment vertical="center" wrapText="1"/>
    </xf>
    <xf numFmtId="0" fontId="0" fillId="4" borderId="9" applyAlignment="1" pivotButton="0" quotePrefix="0" xfId="0">
      <alignment vertical="center" wrapText="1"/>
    </xf>
    <xf numFmtId="0" fontId="0" fillId="0" borderId="22" applyAlignment="1" pivotButton="0" quotePrefix="0" xfId="0">
      <alignment vertical="center" wrapText="1"/>
    </xf>
    <xf numFmtId="0" fontId="0" fillId="0" borderId="30" applyAlignment="1" pivotButton="0" quotePrefix="0" xfId="0">
      <alignment vertical="center" wrapText="1"/>
    </xf>
    <xf numFmtId="0" fontId="0" fillId="0" borderId="13" applyAlignment="1" pivotButton="0" quotePrefix="0" xfId="0">
      <alignment vertical="center" wrapText="1"/>
    </xf>
    <xf numFmtId="0" fontId="0" fillId="0" borderId="9" applyAlignment="1" pivotButton="0" quotePrefix="0" xfId="0">
      <alignment vertical="center" wrapText="1"/>
    </xf>
    <xf numFmtId="0" fontId="10" fillId="0" borderId="9" applyAlignment="1" pivotButton="0" quotePrefix="0" xfId="0">
      <alignment vertical="center" wrapText="1"/>
    </xf>
    <xf numFmtId="0" fontId="0" fillId="0" borderId="40" applyAlignment="1" pivotButton="0" quotePrefix="0" xfId="0">
      <alignment vertical="center" wrapText="1"/>
    </xf>
    <xf numFmtId="0" fontId="0" fillId="0" borderId="39" applyAlignment="1" pivotButton="0" quotePrefix="0" xfId="0">
      <alignment vertical="center" wrapText="1"/>
    </xf>
    <xf numFmtId="0" fontId="0" fillId="0" borderId="41" applyAlignment="1" pivotButton="0" quotePrefix="0" xfId="0">
      <alignment horizontal="center" vertical="center"/>
    </xf>
    <xf numFmtId="165" fontId="8" fillId="0" borderId="9" applyAlignment="1" applyProtection="1" pivotButton="0" quotePrefix="0" xfId="1">
      <alignment horizontal="center" vertical="center" wrapText="1"/>
      <protection locked="0" hidden="0"/>
    </xf>
    <xf numFmtId="0" fontId="0" fillId="0" borderId="39" applyAlignment="1" pivotButton="0" quotePrefix="0" xfId="0">
      <alignment horizontal="left" vertical="center" wrapText="1"/>
    </xf>
    <xf numFmtId="0" fontId="13" fillId="2" borderId="43" applyAlignment="1" pivotButton="0" quotePrefix="0" xfId="0">
      <alignment horizontal="center" vertical="center"/>
    </xf>
    <xf numFmtId="0" fontId="13" fillId="2" borderId="43" applyAlignment="1" pivotButton="0" quotePrefix="0" xfId="0">
      <alignment horizontal="center" vertical="center" wrapText="1"/>
    </xf>
    <xf numFmtId="0" fontId="13" fillId="2" borderId="44" applyAlignment="1" pivotButton="0" quotePrefix="0" xfId="0">
      <alignment horizontal="center" vertical="center" wrapText="1"/>
    </xf>
    <xf numFmtId="0" fontId="20" fillId="0" borderId="39" applyAlignment="1" pivotButton="0" quotePrefix="0" xfId="0">
      <alignment horizontal="center" vertical="center"/>
    </xf>
    <xf numFmtId="0" fontId="20" fillId="0" borderId="9" applyAlignment="1" pivotButton="0" quotePrefix="0" xfId="0">
      <alignment horizontal="center" vertical="center"/>
    </xf>
    <xf numFmtId="0" fontId="20" fillId="0" borderId="9" applyAlignment="1" pivotButton="0" quotePrefix="0" xfId="0">
      <alignment horizontal="center" vertical="center" wrapText="1"/>
    </xf>
    <xf numFmtId="0" fontId="20" fillId="0" borderId="30" applyAlignment="1" pivotButton="0" quotePrefix="0" xfId="0">
      <alignment horizontal="center" vertical="center" wrapText="1"/>
    </xf>
    <xf numFmtId="0" fontId="20" fillId="4" borderId="9" applyAlignment="1" pivotButton="0" quotePrefix="0" xfId="0">
      <alignment horizontal="center" vertical="center" wrapText="1"/>
    </xf>
    <xf numFmtId="0" fontId="20" fillId="4" borderId="15" applyAlignment="1" pivotButton="0" quotePrefix="0" xfId="0">
      <alignment horizontal="center" vertical="center" wrapText="1"/>
    </xf>
    <xf numFmtId="0" fontId="20" fillId="0" borderId="9" applyAlignment="1" pivotButton="0" quotePrefix="0" xfId="0">
      <alignment vertical="center" wrapText="1"/>
    </xf>
    <xf numFmtId="0" fontId="20" fillId="0" borderId="30" applyAlignment="1" pivotButton="0" quotePrefix="0" xfId="0">
      <alignment vertical="center" wrapText="1"/>
    </xf>
    <xf numFmtId="0" fontId="20" fillId="4" borderId="9" applyAlignment="1" pivotButton="0" quotePrefix="0" xfId="0">
      <alignment vertical="center" wrapText="1"/>
    </xf>
    <xf numFmtId="0" fontId="20" fillId="4" borderId="15" applyAlignment="1" pivotButton="0" quotePrefix="0" xfId="0">
      <alignment vertical="center" wrapText="1"/>
    </xf>
    <xf numFmtId="0" fontId="8" fillId="0" borderId="9" applyAlignment="1" pivotButton="0" quotePrefix="0" xfId="1">
      <alignment vertical="center"/>
    </xf>
    <xf numFmtId="0" fontId="8" fillId="0" borderId="9" applyAlignment="1" pivotButton="0" quotePrefix="0" xfId="1">
      <alignment horizontal="center" vertical="center"/>
    </xf>
    <xf numFmtId="0" fontId="8" fillId="0" borderId="9" applyAlignment="1" pivotButton="0" quotePrefix="0" xfId="1">
      <alignment horizontal="center" vertical="center" wrapText="1" shrinkToFit="1"/>
    </xf>
    <xf numFmtId="0" fontId="8" fillId="0" borderId="3" applyAlignment="1" pivotButton="0" quotePrefix="0" xfId="1">
      <alignment horizontal="center" vertical="center"/>
    </xf>
    <xf numFmtId="49" fontId="8" fillId="0" borderId="3" applyAlignment="1" pivotButton="0" quotePrefix="0" xfId="1">
      <alignment horizontal="center" vertical="center" wrapText="1"/>
    </xf>
    <xf numFmtId="49" fontId="8" fillId="0" borderId="7" applyAlignment="1" pivotButton="0" quotePrefix="0" xfId="1">
      <alignment horizontal="center" vertical="center" wrapText="1"/>
    </xf>
    <xf numFmtId="0" fontId="17" fillId="0" borderId="58" applyAlignment="1" pivotButton="0" quotePrefix="0" xfId="0">
      <alignment horizontal="center" vertical="center"/>
    </xf>
    <xf numFmtId="0" fontId="20" fillId="0" borderId="59" applyAlignment="1" pivotButton="0" quotePrefix="0" xfId="0">
      <alignment horizontal="center" vertical="center" wrapText="1"/>
    </xf>
    <xf numFmtId="0" fontId="20" fillId="0" borderId="60" applyAlignment="1" pivotButton="0" quotePrefix="0" xfId="0">
      <alignment horizontal="center" vertical="center" wrapText="1"/>
    </xf>
    <xf numFmtId="0" fontId="27" fillId="0" borderId="0" applyAlignment="1" pivotButton="0" quotePrefix="0" xfId="1">
      <alignment horizontal="center" vertical="center"/>
    </xf>
    <xf numFmtId="165" fontId="8" fillId="0" borderId="9" applyAlignment="1" applyProtection="1" pivotButton="0" quotePrefix="0" xfId="1">
      <alignment horizontal="center" vertical="center"/>
      <protection locked="0" hidden="0"/>
    </xf>
    <xf numFmtId="165" fontId="8" fillId="0" borderId="15" applyAlignment="1" applyProtection="1" pivotButton="0" quotePrefix="0" xfId="1">
      <alignment horizontal="center" vertical="center"/>
      <protection locked="0" hidden="0"/>
    </xf>
    <xf numFmtId="0" fontId="10" fillId="0" borderId="59" applyAlignment="1" pivotButton="0" quotePrefix="0" xfId="0">
      <alignment horizontal="left" vertical="center" wrapText="1"/>
    </xf>
    <xf numFmtId="0" fontId="32" fillId="4" borderId="9" applyAlignment="1" pivotButton="0" quotePrefix="0" xfId="0">
      <alignment vertical="center" wrapText="1"/>
    </xf>
    <xf numFmtId="0" fontId="10" fillId="4" borderId="9" applyAlignment="1" pivotButton="0" quotePrefix="0" xfId="0">
      <alignment vertical="center" wrapText="1"/>
    </xf>
    <xf numFmtId="0" fontId="13" fillId="2" borderId="42" applyAlignment="1" pivotButton="0" quotePrefix="0" xfId="0">
      <alignment horizontal="center" vertical="center"/>
    </xf>
    <xf numFmtId="0" fontId="8" fillId="0" borderId="10" applyAlignment="1" applyProtection="1" pivotButton="0" quotePrefix="0" xfId="1">
      <alignment horizontal="center" vertical="center"/>
      <protection locked="0" hidden="0"/>
    </xf>
    <xf numFmtId="0" fontId="8" fillId="0" borderId="11" applyAlignment="1" applyProtection="1" pivotButton="0" quotePrefix="0" xfId="1">
      <alignment horizontal="center" vertical="center"/>
      <protection locked="0" hidden="0"/>
    </xf>
    <xf numFmtId="0" fontId="8" fillId="0" borderId="12" applyAlignment="1" applyProtection="1" pivotButton="0" quotePrefix="0" xfId="1">
      <alignment horizontal="center" vertical="center"/>
      <protection locked="0" hidden="0"/>
    </xf>
    <xf numFmtId="0" fontId="8" fillId="0" borderId="20" applyAlignment="1" applyProtection="1" pivotButton="0" quotePrefix="0" xfId="1">
      <alignment horizontal="center" vertical="center"/>
      <protection locked="0" hidden="0"/>
    </xf>
    <xf numFmtId="0" fontId="8" fillId="0" borderId="21" applyAlignment="1" applyProtection="1" pivotButton="0" quotePrefix="0" xfId="1">
      <alignment horizontal="center" vertical="center"/>
      <protection locked="0" hidden="0"/>
    </xf>
    <xf numFmtId="0" fontId="8" fillId="0" borderId="9" applyAlignment="1" applyProtection="1" pivotButton="0" quotePrefix="0" xfId="1">
      <alignment horizontal="center" vertical="center"/>
      <protection locked="0" hidden="0"/>
    </xf>
    <xf numFmtId="0" fontId="8" fillId="0" borderId="16" applyAlignment="1" applyProtection="1" pivotButton="0" quotePrefix="0" xfId="1">
      <alignment horizontal="center" vertical="center"/>
      <protection locked="0" hidden="0"/>
    </xf>
    <xf numFmtId="0" fontId="8" fillId="0" borderId="17" applyAlignment="1" applyProtection="1" pivotButton="0" quotePrefix="0" xfId="1">
      <alignment horizontal="center" vertical="center"/>
      <protection locked="0" hidden="0"/>
    </xf>
    <xf numFmtId="0" fontId="8" fillId="0" borderId="18" applyAlignment="1" applyProtection="1" pivotButton="0" quotePrefix="0" xfId="1">
      <alignment horizontal="center" vertical="center"/>
      <protection locked="0" hidden="0"/>
    </xf>
    <xf numFmtId="0" fontId="8" fillId="0" borderId="32" applyAlignment="1" pivotButton="0" quotePrefix="0" xfId="1">
      <alignment horizontal="center" vertical="center"/>
    </xf>
    <xf numFmtId="0" fontId="8" fillId="0" borderId="33" applyAlignment="1" pivotButton="0" quotePrefix="0" xfId="1">
      <alignment horizontal="center" vertical="center"/>
    </xf>
    <xf numFmtId="0" fontId="8" fillId="0" borderId="3" applyAlignment="1" applyProtection="1" pivotButton="0" quotePrefix="0" xfId="1">
      <alignment horizontal="center" vertical="center" wrapText="1"/>
      <protection locked="0" hidden="0"/>
    </xf>
    <xf numFmtId="0" fontId="8" fillId="0" borderId="3" applyAlignment="1" applyProtection="1" pivotButton="0" quotePrefix="0" xfId="1">
      <alignment horizontal="center" vertical="center"/>
      <protection locked="0" hidden="0"/>
    </xf>
    <xf numFmtId="165" fontId="9" fillId="5" borderId="20" applyAlignment="1" pivotButton="0" quotePrefix="0" xfId="1">
      <alignment horizontal="center" vertical="center"/>
    </xf>
    <xf numFmtId="165" fontId="9" fillId="5" borderId="47" applyAlignment="1" pivotButton="0" quotePrefix="0" xfId="1">
      <alignment horizontal="center" vertical="center"/>
    </xf>
    <xf numFmtId="165" fontId="9" fillId="5" borderId="23" applyAlignment="1" pivotButton="0" quotePrefix="0" xfId="1">
      <alignment horizontal="center" vertical="center"/>
    </xf>
    <xf numFmtId="165" fontId="9" fillId="5" borderId="48" applyAlignment="1" pivotButton="0" quotePrefix="0" xfId="1">
      <alignment horizontal="center" vertical="center"/>
    </xf>
    <xf numFmtId="165" fontId="9" fillId="5" borderId="38" applyAlignment="1" pivotButton="0" quotePrefix="0" xfId="1">
      <alignment horizontal="center" vertical="center"/>
    </xf>
    <xf numFmtId="165" fontId="9" fillId="5" borderId="49" applyAlignment="1" pivotButton="0" quotePrefix="0" xfId="1">
      <alignment horizontal="center" vertical="center"/>
    </xf>
    <xf numFmtId="0" fontId="8" fillId="0" borderId="9" applyAlignment="1" applyProtection="1" pivotButton="0" quotePrefix="0" xfId="1">
      <alignment horizontal="center" vertical="center" wrapText="1"/>
      <protection locked="0" hidden="0"/>
    </xf>
    <xf numFmtId="0" fontId="8" fillId="0" borderId="10" applyAlignment="1" applyProtection="1" pivotButton="0" quotePrefix="0" xfId="1">
      <alignment horizontal="center" vertical="center" wrapText="1"/>
      <protection locked="0" hidden="0"/>
    </xf>
    <xf numFmtId="0" fontId="8" fillId="0" borderId="31" applyAlignment="1" pivotButton="0" quotePrefix="0" xfId="1">
      <alignment horizontal="center" vertical="center" wrapText="1"/>
    </xf>
    <xf numFmtId="0" fontId="8" fillId="0" borderId="29" applyAlignment="1" pivotButton="0" quotePrefix="0" xfId="1">
      <alignment horizontal="center" vertical="center" wrapText="1"/>
    </xf>
    <xf numFmtId="0" fontId="8" fillId="0" borderId="46" applyAlignment="1" pivotButton="0" quotePrefix="0" xfId="1">
      <alignment horizontal="center" vertical="center" wrapText="1"/>
    </xf>
    <xf numFmtId="0" fontId="8" fillId="0" borderId="20" applyAlignment="1" pivotButton="0" quotePrefix="0" xfId="1">
      <alignment horizontal="center" vertical="center"/>
    </xf>
    <xf numFmtId="0" fontId="8" fillId="0" borderId="21" applyAlignment="1" pivotButton="0" quotePrefix="0" xfId="1">
      <alignment horizontal="center" vertical="center"/>
    </xf>
    <xf numFmtId="0" fontId="8" fillId="0" borderId="23" applyAlignment="1" pivotButton="0" quotePrefix="0" xfId="1">
      <alignment horizontal="center" vertical="center"/>
    </xf>
    <xf numFmtId="0" fontId="8" fillId="0" borderId="24" applyAlignment="1" pivotButton="0" quotePrefix="0" xfId="1">
      <alignment horizontal="center" vertical="center"/>
    </xf>
    <xf numFmtId="0" fontId="8" fillId="0" borderId="38" applyAlignment="1" pivotButton="0" quotePrefix="0" xfId="1">
      <alignment horizontal="center" vertical="center"/>
    </xf>
    <xf numFmtId="0" fontId="8" fillId="0" borderId="37" applyAlignment="1" pivotButton="0" quotePrefix="0" xfId="1">
      <alignment horizontal="center" vertical="center"/>
    </xf>
    <xf numFmtId="0" fontId="3" fillId="0" borderId="0" applyAlignment="1" pivotButton="0" quotePrefix="0" xfId="1">
      <alignment horizontal="center" vertical="center"/>
    </xf>
    <xf numFmtId="0" fontId="8" fillId="0" borderId="2" applyAlignment="1" pivotButton="0" quotePrefix="0" xfId="1">
      <alignment horizontal="center" vertical="center" wrapText="1"/>
    </xf>
    <xf numFmtId="0" fontId="8" fillId="0" borderId="3" applyAlignment="1" pivotButton="0" quotePrefix="0" xfId="1">
      <alignment horizontal="center" vertical="center" wrapText="1"/>
    </xf>
    <xf numFmtId="0" fontId="9" fillId="0" borderId="3" applyAlignment="1" applyProtection="1" pivotButton="0" quotePrefix="0" xfId="1">
      <alignment horizontal="center" vertical="center"/>
      <protection locked="0" hidden="0"/>
    </xf>
    <xf numFmtId="0" fontId="8" fillId="0" borderId="4" applyAlignment="1" pivotButton="0" quotePrefix="0" xfId="1">
      <alignment horizontal="center" vertical="center"/>
    </xf>
    <xf numFmtId="0" fontId="8" fillId="0" borderId="5" applyAlignment="1" pivotButton="0" quotePrefix="0" xfId="1">
      <alignment horizontal="center" vertical="center"/>
    </xf>
    <xf numFmtId="0" fontId="9" fillId="0" borderId="4" applyAlignment="1" applyProtection="1" pivotButton="0" quotePrefix="0" xfId="1">
      <alignment horizontal="center" vertical="center"/>
      <protection locked="0" hidden="0"/>
    </xf>
    <xf numFmtId="0" fontId="9" fillId="0" borderId="6" applyAlignment="1" applyProtection="1" pivotButton="0" quotePrefix="0" xfId="1">
      <alignment horizontal="center" vertical="center"/>
      <protection locked="0" hidden="0"/>
    </xf>
    <xf numFmtId="0" fontId="9" fillId="0" borderId="5" applyAlignment="1" applyProtection="1" pivotButton="0" quotePrefix="0" xfId="1">
      <alignment horizontal="center" vertical="center"/>
      <protection locked="0" hidden="0"/>
    </xf>
    <xf numFmtId="0" fontId="9" fillId="0" borderId="7" applyAlignment="1" applyProtection="1" pivotButton="0" quotePrefix="0" xfId="1">
      <alignment horizontal="center" vertical="center"/>
      <protection locked="0" hidden="0"/>
    </xf>
    <xf numFmtId="0" fontId="9" fillId="0" borderId="10" applyAlignment="1" applyProtection="1" pivotButton="0" quotePrefix="0" xfId="1">
      <alignment horizontal="center" vertical="center"/>
      <protection locked="0" hidden="0"/>
    </xf>
    <xf numFmtId="0" fontId="9" fillId="0" borderId="45" applyAlignment="1" applyProtection="1" pivotButton="0" quotePrefix="0" xfId="1">
      <alignment horizontal="center" vertical="center"/>
      <protection locked="0" hidden="0"/>
    </xf>
    <xf numFmtId="0" fontId="8" fillId="0" borderId="8" applyAlignment="1" pivotButton="0" quotePrefix="0" xfId="1">
      <alignment horizontal="center" vertical="center" wrapText="1"/>
    </xf>
    <xf numFmtId="0" fontId="8" fillId="0" borderId="9" applyAlignment="1" pivotButton="0" quotePrefix="0" xfId="1">
      <alignment horizontal="center" vertical="center" wrapText="1"/>
    </xf>
    <xf numFmtId="0" fontId="8" fillId="0" borderId="10" applyAlignment="1" pivotButton="0" quotePrefix="0" xfId="1">
      <alignment horizontal="center" vertical="center"/>
    </xf>
    <xf numFmtId="0" fontId="8" fillId="0" borderId="12" applyAlignment="1" pivotButton="0" quotePrefix="0" xfId="1">
      <alignment horizontal="center" vertical="center"/>
    </xf>
    <xf numFmtId="0" fontId="9" fillId="0" borderId="9" applyAlignment="1" applyProtection="1" pivotButton="0" quotePrefix="0" xfId="1">
      <alignment horizontal="center" vertical="center"/>
      <protection locked="0" hidden="0"/>
    </xf>
    <xf numFmtId="0" fontId="8" fillId="0" borderId="8" applyAlignment="1" pivotButton="0" quotePrefix="0" xfId="1">
      <alignment horizontal="center" vertical="center"/>
    </xf>
    <xf numFmtId="0" fontId="8" fillId="0" borderId="9" applyAlignment="1" pivotButton="0" quotePrefix="0" xfId="1">
      <alignment horizontal="center" vertical="center"/>
    </xf>
    <xf numFmtId="0" fontId="4" fillId="0" borderId="0" applyAlignment="1" applyProtection="1" pivotButton="0" quotePrefix="0" xfId="1">
      <alignment horizontal="center" vertical="center"/>
      <protection locked="0" hidden="0"/>
    </xf>
    <xf numFmtId="0" fontId="7" fillId="0" borderId="1" applyAlignment="1" pivotButton="0" quotePrefix="0" xfId="1">
      <alignment horizontal="right" vertical="center"/>
    </xf>
    <xf numFmtId="0" fontId="8" fillId="0" borderId="14" applyAlignment="1" pivotButton="0" quotePrefix="0" xfId="1">
      <alignment horizontal="center" vertical="center" wrapText="1"/>
    </xf>
    <xf numFmtId="0" fontId="8" fillId="0" borderId="15" applyAlignment="1" pivotButton="0" quotePrefix="0" xfId="1">
      <alignment horizontal="center" vertical="center" wrapText="1"/>
    </xf>
    <xf numFmtId="166" fontId="9" fillId="5" borderId="9" applyAlignment="1" pivotButton="0" quotePrefix="0" xfId="1">
      <alignment horizontal="center" vertical="center"/>
    </xf>
    <xf numFmtId="166" fontId="9" fillId="5" borderId="15" applyAlignment="1" pivotButton="0" quotePrefix="0" xfId="1">
      <alignment horizontal="center" vertical="center"/>
    </xf>
    <xf numFmtId="0" fontId="8" fillId="0" borderId="11" applyAlignment="1" pivotButton="0" quotePrefix="0" xfId="1">
      <alignment horizontal="center" vertical="center"/>
    </xf>
    <xf numFmtId="0" fontId="8" fillId="0" borderId="10" applyAlignment="1" pivotButton="0" quotePrefix="0" xfId="1">
      <alignment horizontal="center" vertical="center" wrapText="1"/>
    </xf>
    <xf numFmtId="0" fontId="8" fillId="0" borderId="11" applyAlignment="1" pivotButton="0" quotePrefix="0" xfId="1">
      <alignment horizontal="center" vertical="center" wrapText="1"/>
    </xf>
    <xf numFmtId="0" fontId="8" fillId="0" borderId="12" applyAlignment="1" pivotButton="0" quotePrefix="0" xfId="1">
      <alignment horizontal="center" vertical="center" wrapText="1"/>
    </xf>
    <xf numFmtId="0" fontId="8" fillId="0" borderId="13" applyAlignment="1" pivotButton="0" quotePrefix="0" xfId="1">
      <alignment horizontal="center" vertical="center"/>
    </xf>
    <xf numFmtId="164" fontId="9" fillId="0" borderId="16" applyAlignment="1" applyProtection="1" pivotButton="0" quotePrefix="0" xfId="1">
      <alignment horizontal="center" vertical="center" wrapText="1"/>
      <protection locked="0" hidden="0"/>
    </xf>
    <xf numFmtId="164" fontId="9" fillId="0" borderId="17" applyAlignment="1" applyProtection="1" pivotButton="0" quotePrefix="0" xfId="1">
      <alignment horizontal="center" vertical="center" wrapText="1"/>
      <protection locked="0" hidden="0"/>
    </xf>
    <xf numFmtId="164" fontId="9" fillId="0" borderId="18" applyAlignment="1" applyProtection="1" pivotButton="0" quotePrefix="0" xfId="1">
      <alignment horizontal="center" vertical="center" wrapText="1"/>
      <protection locked="0" hidden="0"/>
    </xf>
    <xf numFmtId="167" fontId="9" fillId="5" borderId="16" applyAlignment="1" pivotButton="0" quotePrefix="0" xfId="1">
      <alignment horizontal="center" vertical="center" wrapText="1"/>
    </xf>
    <xf numFmtId="167" fontId="9" fillId="5" borderId="17" applyAlignment="1" pivotButton="0" quotePrefix="0" xfId="1">
      <alignment horizontal="center" vertical="center" wrapText="1"/>
    </xf>
    <xf numFmtId="167" fontId="9" fillId="5" borderId="18" applyAlignment="1" pivotButton="0" quotePrefix="0" xfId="1">
      <alignment horizontal="center" vertical="center" wrapText="1"/>
    </xf>
    <xf numFmtId="0" fontId="9" fillId="0" borderId="15" applyAlignment="1" applyProtection="1" pivotButton="0" quotePrefix="0" xfId="1">
      <alignment horizontal="center" vertical="center" wrapText="1"/>
      <protection locked="0" hidden="0"/>
    </xf>
    <xf numFmtId="0" fontId="9" fillId="0" borderId="18" applyAlignment="1" applyProtection="1" pivotButton="0" quotePrefix="0" xfId="1">
      <alignment horizontal="center" vertical="center" wrapText="1"/>
      <protection locked="0" hidden="0"/>
    </xf>
    <xf numFmtId="0" fontId="9" fillId="0" borderId="19" applyAlignment="1" applyProtection="1" pivotButton="0" quotePrefix="0" xfId="1">
      <alignment horizontal="center" vertical="center" wrapText="1"/>
      <protection locked="0" hidden="0"/>
    </xf>
    <xf numFmtId="0" fontId="9" fillId="0" borderId="10" applyAlignment="1" applyProtection="1" pivotButton="0" quotePrefix="0" xfId="1">
      <alignment horizontal="center" vertical="center" wrapText="1"/>
      <protection locked="0" hidden="0"/>
    </xf>
    <xf numFmtId="0" fontId="9" fillId="0" borderId="11" applyAlignment="1" applyProtection="1" pivotButton="0" quotePrefix="0" xfId="1">
      <alignment horizontal="center" vertical="center" wrapText="1"/>
      <protection locked="0" hidden="0"/>
    </xf>
    <xf numFmtId="0" fontId="9" fillId="0" borderId="12" applyAlignment="1" applyProtection="1" pivotButton="0" quotePrefix="0" xfId="1">
      <alignment horizontal="center" vertical="center" wrapText="1"/>
      <protection locked="0" hidden="0"/>
    </xf>
    <xf numFmtId="165" fontId="8" fillId="5" borderId="10" applyAlignment="1" pivotButton="0" quotePrefix="0" xfId="1">
      <alignment horizontal="center" vertical="center"/>
    </xf>
    <xf numFmtId="165" fontId="8" fillId="5" borderId="45" applyAlignment="1" pivotButton="0" quotePrefix="0" xfId="1">
      <alignment horizontal="center" vertical="center"/>
    </xf>
    <xf numFmtId="0" fontId="11" fillId="3" borderId="9" applyAlignment="1" applyProtection="1" pivotButton="0" quotePrefix="0" xfId="1">
      <alignment horizontal="left" vertical="center"/>
      <protection locked="0" hidden="0"/>
    </xf>
    <xf numFmtId="0" fontId="11" fillId="3" borderId="13" applyAlignment="1" applyProtection="1" pivotButton="0" quotePrefix="0" xfId="1">
      <alignment horizontal="left" vertical="center"/>
      <protection locked="0" hidden="0"/>
    </xf>
    <xf numFmtId="0" fontId="11" fillId="2" borderId="41" applyAlignment="1" pivotButton="0" quotePrefix="0" xfId="1">
      <alignment horizontal="center" vertical="center"/>
    </xf>
    <xf numFmtId="0" fontId="11" fillId="2" borderId="39" applyAlignment="1" pivotButton="0" quotePrefix="0" xfId="1">
      <alignment horizontal="center" vertical="center"/>
    </xf>
    <xf numFmtId="0" fontId="11" fillId="2" borderId="8" applyAlignment="1" pivotButton="0" quotePrefix="0" xfId="1">
      <alignment horizontal="center" vertical="center"/>
    </xf>
    <xf numFmtId="0" fontId="11" fillId="2" borderId="9" applyAlignment="1" pivotButton="0" quotePrefix="0" xfId="1">
      <alignment horizontal="center" vertical="center"/>
    </xf>
    <xf numFmtId="0" fontId="12" fillId="2" borderId="42" applyAlignment="1" pivotButton="0" quotePrefix="0" xfId="1">
      <alignment horizontal="center" vertical="center"/>
    </xf>
    <xf numFmtId="0" fontId="12" fillId="2" borderId="43" applyAlignment="1" pivotButton="0" quotePrefix="0" xfId="1">
      <alignment horizontal="center" vertical="center"/>
    </xf>
    <xf numFmtId="0" fontId="12" fillId="2" borderId="44" applyAlignment="1" pivotButton="0" quotePrefix="0" xfId="1">
      <alignment horizontal="center" vertical="center"/>
    </xf>
    <xf numFmtId="0" fontId="11" fillId="3" borderId="39" applyAlignment="1" applyProtection="1" pivotButton="0" quotePrefix="0" xfId="1">
      <alignment horizontal="left" vertical="center"/>
      <protection locked="0" hidden="0"/>
    </xf>
    <xf numFmtId="0" fontId="11" fillId="3" borderId="40" applyAlignment="1" applyProtection="1" pivotButton="0" quotePrefix="0" xfId="1">
      <alignment horizontal="left" vertical="center"/>
      <protection locked="0" hidden="0"/>
    </xf>
    <xf numFmtId="0" fontId="7" fillId="0" borderId="34" applyAlignment="1" pivotButton="0" quotePrefix="0" xfId="1">
      <alignment horizontal="center" vertical="center" wrapText="1"/>
    </xf>
    <xf numFmtId="0" fontId="7" fillId="0" borderId="35" applyAlignment="1" pivotButton="0" quotePrefix="0" xfId="1">
      <alignment horizontal="center" vertical="center" wrapText="1"/>
    </xf>
    <xf numFmtId="0" fontId="7" fillId="0" borderId="36" applyAlignment="1" pivotButton="0" quotePrefix="0" xfId="1">
      <alignment horizontal="center" vertical="center" wrapText="1"/>
    </xf>
    <xf numFmtId="0" fontId="7" fillId="0" borderId="1" applyAlignment="1" pivotButton="0" quotePrefix="0" xfId="1">
      <alignment horizontal="center" vertical="center" wrapText="1"/>
    </xf>
    <xf numFmtId="0" fontId="9" fillId="0" borderId="4" applyAlignment="1" pivotButton="0" quotePrefix="0" xfId="1">
      <alignment horizontal="center" vertical="center" wrapText="1"/>
    </xf>
    <xf numFmtId="0" fontId="9" fillId="0" borderId="6" applyAlignment="1" pivotButton="0" quotePrefix="0" xfId="1">
      <alignment horizontal="center" vertical="center" wrapText="1"/>
    </xf>
    <xf numFmtId="0" fontId="8" fillId="0" borderId="16" applyAlignment="1" pivotButton="0" quotePrefix="0" xfId="1">
      <alignment horizontal="center" vertical="center" wrapText="1"/>
    </xf>
    <xf numFmtId="0" fontId="8" fillId="0" borderId="17" applyAlignment="1" pivotButton="0" quotePrefix="0" xfId="1">
      <alignment horizontal="center" vertical="center" wrapText="1"/>
    </xf>
    <xf numFmtId="0" fontId="7" fillId="0" borderId="50" applyAlignment="1" pivotButton="0" quotePrefix="0" xfId="1">
      <alignment horizontal="center" vertical="center" wrapText="1"/>
    </xf>
    <xf numFmtId="0" fontId="7" fillId="0" borderId="51" applyAlignment="1" pivotButton="0" quotePrefix="0" xfId="1">
      <alignment horizontal="center" vertical="center" wrapText="1"/>
    </xf>
    <xf numFmtId="0" fontId="7" fillId="0" borderId="52" applyAlignment="1" pivotButton="0" quotePrefix="0" xfId="1">
      <alignment horizontal="center" vertical="center" wrapText="1"/>
    </xf>
    <xf numFmtId="0" fontId="7" fillId="0" borderId="53" applyAlignment="1" pivotButton="0" quotePrefix="0" xfId="1">
      <alignment horizontal="center" vertical="center" wrapText="1"/>
    </xf>
    <xf numFmtId="0" fontId="7" fillId="0" borderId="54" applyAlignment="1" pivotButton="0" quotePrefix="0" xfId="1">
      <alignment horizontal="center" vertical="center" wrapText="1"/>
    </xf>
    <xf numFmtId="0" fontId="7" fillId="0" borderId="55" applyAlignment="1" pivotButton="0" quotePrefix="0" xfId="1">
      <alignment horizontal="center" vertical="center" wrapText="1"/>
    </xf>
    <xf numFmtId="0" fontId="8" fillId="0" borderId="26" applyAlignment="1" applyProtection="1" pivotButton="0" quotePrefix="0" xfId="1">
      <alignment horizontal="center" vertical="center"/>
      <protection locked="0" hidden="0"/>
    </xf>
    <xf numFmtId="0" fontId="8" fillId="0" borderId="27" applyAlignment="1" applyProtection="1" pivotButton="0" quotePrefix="0" xfId="1">
      <alignment horizontal="center" vertical="center"/>
      <protection locked="0" hidden="0"/>
    </xf>
    <xf numFmtId="0" fontId="8" fillId="0" borderId="28" applyAlignment="1" applyProtection="1" pivotButton="0" quotePrefix="0" xfId="1">
      <alignment horizontal="center" vertical="center"/>
      <protection locked="0" hidden="0"/>
    </xf>
    <xf numFmtId="0" fontId="9" fillId="0" borderId="32" applyAlignment="1" pivotButton="0" quotePrefix="0" xfId="1">
      <alignment horizontal="center" vertical="center" wrapText="1"/>
    </xf>
    <xf numFmtId="0" fontId="9" fillId="0" borderId="35" applyAlignment="1" pivotButton="0" quotePrefix="0" xfId="1">
      <alignment horizontal="center" vertical="center" wrapText="1"/>
    </xf>
    <xf numFmtId="0" fontId="7" fillId="0" borderId="16" applyAlignment="1" pivotButton="0" quotePrefix="0" xfId="1">
      <alignment horizontal="center" vertical="center" wrapText="1"/>
    </xf>
    <xf numFmtId="0" fontId="7" fillId="0" borderId="17" applyAlignment="1" pivotButton="0" quotePrefix="0" xfId="1">
      <alignment horizontal="center" vertical="center" wrapText="1"/>
    </xf>
    <xf numFmtId="0" fontId="9" fillId="0" borderId="4" applyAlignment="1" pivotButton="0" quotePrefix="0" xfId="1">
      <alignment horizontal="center" vertical="center"/>
    </xf>
    <xf numFmtId="0" fontId="9" fillId="0" borderId="5" applyAlignment="1" pivotButton="0" quotePrefix="0" xfId="1">
      <alignment horizontal="center" vertical="center"/>
    </xf>
    <xf numFmtId="0" fontId="8" fillId="0" borderId="18" applyAlignment="1" pivotButton="0" quotePrefix="0" xfId="1">
      <alignment horizontal="center" vertical="center" wrapText="1"/>
    </xf>
    <xf numFmtId="0" fontId="8" fillId="0" borderId="23" applyAlignment="1" pivotButton="0" quotePrefix="0" xfId="1">
      <alignment horizontal="center" vertical="center" shrinkToFit="1"/>
    </xf>
    <xf numFmtId="0" fontId="8" fillId="0" borderId="24" applyAlignment="1" pivotButton="0" quotePrefix="0" xfId="1">
      <alignment horizontal="center" vertical="center" shrinkToFit="1"/>
    </xf>
    <xf numFmtId="0" fontId="8" fillId="0" borderId="39" applyAlignment="1" applyProtection="1" pivotButton="0" quotePrefix="0" xfId="1">
      <alignment horizontal="center" vertical="center"/>
      <protection locked="0" hidden="0"/>
    </xf>
    <xf numFmtId="0" fontId="8" fillId="0" borderId="4" applyAlignment="1" applyProtection="1" pivotButton="0" quotePrefix="0" xfId="1">
      <alignment horizontal="center" vertical="center" wrapText="1"/>
      <protection locked="0" hidden="0"/>
    </xf>
    <xf numFmtId="0" fontId="8" fillId="0" borderId="6" applyAlignment="1" applyProtection="1" pivotButton="0" quotePrefix="0" xfId="1">
      <alignment horizontal="center" vertical="center"/>
      <protection locked="0" hidden="0"/>
    </xf>
    <xf numFmtId="0" fontId="8" fillId="0" borderId="5" applyAlignment="1" applyProtection="1" pivotButton="0" quotePrefix="0" xfId="1">
      <alignment horizontal="center" vertical="center"/>
      <protection locked="0" hidden="0"/>
    </xf>
    <xf numFmtId="0" fontId="8" fillId="0" borderId="20" applyAlignment="1" pivotButton="0" quotePrefix="0" xfId="1">
      <alignment horizontal="center" vertical="center" shrinkToFit="1"/>
    </xf>
    <xf numFmtId="0" fontId="8" fillId="0" borderId="21" applyAlignment="1" pivotButton="0" quotePrefix="0" xfId="1">
      <alignment horizontal="center" vertical="center" shrinkToFit="1"/>
    </xf>
    <xf numFmtId="0" fontId="8" fillId="0" borderId="3" applyAlignment="1" pivotButton="0" quotePrefix="0" xfId="1">
      <alignment horizontal="center" vertical="center"/>
    </xf>
    <xf numFmtId="0" fontId="8" fillId="0" borderId="7" applyAlignment="1" pivotButton="0" quotePrefix="0" xfId="1">
      <alignment horizontal="center" vertical="center"/>
    </xf>
    <xf numFmtId="0" fontId="8" fillId="0" borderId="6" applyAlignment="1" pivotButton="0" quotePrefix="0" xfId="1">
      <alignment horizontal="center" vertical="center"/>
    </xf>
    <xf numFmtId="165" fontId="9" fillId="5" borderId="22" applyAlignment="1" pivotButton="0" quotePrefix="0" xfId="1">
      <alignment horizontal="center" vertical="center" wrapText="1"/>
    </xf>
    <xf numFmtId="165" fontId="9" fillId="5" borderId="25" applyAlignment="1" pivotButton="0" quotePrefix="0" xfId="1">
      <alignment horizontal="center" vertical="center" wrapText="1"/>
    </xf>
    <xf numFmtId="0" fontId="11" fillId="2" borderId="56" applyAlignment="1" pivotButton="0" quotePrefix="0" xfId="1">
      <alignment horizontal="center" vertical="center"/>
    </xf>
    <xf numFmtId="0" fontId="11" fillId="2" borderId="11" applyAlignment="1" pivotButton="0" quotePrefix="0" xfId="1">
      <alignment horizontal="center" vertical="center"/>
    </xf>
    <xf numFmtId="0" fontId="11" fillId="2" borderId="12" applyAlignment="1" pivotButton="0" quotePrefix="0" xfId="1">
      <alignment horizontal="center" vertical="center"/>
    </xf>
    <xf numFmtId="0" fontId="11" fillId="3" borderId="10" applyAlignment="1" applyProtection="1" pivotButton="0" quotePrefix="0" xfId="1">
      <alignment horizontal="center" vertical="center"/>
      <protection locked="0" hidden="0"/>
    </xf>
    <xf numFmtId="0" fontId="11" fillId="3" borderId="11" applyAlignment="1" applyProtection="1" pivotButton="0" quotePrefix="0" xfId="1">
      <alignment horizontal="center" vertical="center"/>
      <protection locked="0" hidden="0"/>
    </xf>
    <xf numFmtId="0" fontId="11" fillId="3" borderId="45" applyAlignment="1" applyProtection="1" pivotButton="0" quotePrefix="0" xfId="1">
      <alignment horizontal="center" vertical="center"/>
      <protection locked="0" hidden="0"/>
    </xf>
    <xf numFmtId="0" fontId="8" fillId="0" borderId="2" applyAlignment="1" pivotButton="0" quotePrefix="0" xfId="1">
      <alignment horizontal="center" vertical="center" textRotation="255"/>
    </xf>
    <xf numFmtId="0" fontId="8" fillId="0" borderId="8" applyAlignment="1" pivotButton="0" quotePrefix="0" xfId="1">
      <alignment horizontal="center" vertical="center" textRotation="255"/>
    </xf>
    <xf numFmtId="0" fontId="11" fillId="3" borderId="15" applyAlignment="1" applyProtection="1" pivotButton="0" quotePrefix="0" xfId="1">
      <alignment horizontal="left" vertical="center"/>
      <protection locked="0" hidden="0"/>
    </xf>
    <xf numFmtId="0" fontId="11" fillId="3" borderId="19" applyAlignment="1" applyProtection="1" pivotButton="0" quotePrefix="0" xfId="1">
      <alignment horizontal="left" vertical="center"/>
      <protection locked="0" hidden="0"/>
    </xf>
    <xf numFmtId="0" fontId="11" fillId="2" borderId="14" applyAlignment="1" pivotButton="0" quotePrefix="0" xfId="1">
      <alignment horizontal="center" vertical="center"/>
    </xf>
    <xf numFmtId="0" fontId="11" fillId="2" borderId="15" applyAlignment="1" pivotButton="0" quotePrefix="0" xfId="1">
      <alignment horizontal="center" vertical="center"/>
    </xf>
    <xf numFmtId="0" fontId="18" fillId="0" borderId="0" applyAlignment="1" pivotButton="0" quotePrefix="0" xfId="0">
      <alignment horizontal="center" vertical="center"/>
    </xf>
    <xf numFmtId="0" fontId="14" fillId="0" borderId="0" applyAlignment="1" pivotButton="0" quotePrefix="0" xfId="0">
      <alignment horizontal="left" vertical="center"/>
    </xf>
    <xf numFmtId="0" fontId="13" fillId="0" borderId="0" applyAlignment="1" pivotButton="0" quotePrefix="0" xfId="0">
      <alignment horizontal="left" vertical="center"/>
    </xf>
    <xf numFmtId="0" fontId="0" fillId="0" borderId="30" applyAlignment="1" pivotButton="0" quotePrefix="0" xfId="0">
      <alignment horizontal="left" vertical="center" wrapText="1"/>
    </xf>
    <xf numFmtId="0" fontId="0" fillId="0" borderId="57" applyAlignment="1" pivotButton="0" quotePrefix="0" xfId="0">
      <alignment horizontal="left" vertical="center" wrapText="1"/>
    </xf>
    <xf numFmtId="0" fontId="0" fillId="0" borderId="39" applyAlignment="1" pivotButton="0" quotePrefix="0" xfId="0">
      <alignment horizontal="left" vertical="center" wrapText="1"/>
    </xf>
    <xf numFmtId="0" fontId="10" fillId="0" borderId="9" applyAlignment="1" pivotButton="0" quotePrefix="0" xfId="0">
      <alignment horizontal="left" vertical="center" wrapText="1"/>
    </xf>
    <xf numFmtId="0" fontId="0" fillId="0" borderId="9" applyAlignment="1" pivotButton="0" quotePrefix="0" xfId="0">
      <alignment horizontal="left" vertical="center" wrapText="1"/>
    </xf>
    <xf numFmtId="0" fontId="0" fillId="0" borderId="0" pivotButton="0" quotePrefix="0" xfId="0"/>
    <xf numFmtId="0" fontId="0" fillId="0" borderId="0" applyProtection="1" pivotButton="0" quotePrefix="0" xfId="0">
      <protection locked="0" hidden="0"/>
    </xf>
    <xf numFmtId="0" fontId="0" fillId="0" borderId="1" pivotButton="0" quotePrefix="0" xfId="0"/>
    <xf numFmtId="0" fontId="0" fillId="0" borderId="5" pivotButton="0" quotePrefix="0" xfId="0"/>
    <xf numFmtId="0" fontId="0" fillId="0" borderId="5" applyProtection="1" pivotButton="0" quotePrefix="0" xfId="0">
      <protection locked="0" hidden="0"/>
    </xf>
    <xf numFmtId="0" fontId="0" fillId="0" borderId="6" applyProtection="1" pivotButton="0" quotePrefix="0" xfId="0">
      <protection locked="0" hidden="0"/>
    </xf>
    <xf numFmtId="0" fontId="0" fillId="0" borderId="12" pivotButton="0" quotePrefix="0" xfId="0"/>
    <xf numFmtId="0" fontId="0" fillId="0" borderId="12" applyProtection="1" pivotButton="0" quotePrefix="0" xfId="0">
      <protection locked="0" hidden="0"/>
    </xf>
    <xf numFmtId="0" fontId="0" fillId="0" borderId="11" applyProtection="1" pivotButton="0" quotePrefix="0" xfId="0">
      <protection locked="0" hidden="0"/>
    </xf>
    <xf numFmtId="165" fontId="8" fillId="5" borderId="13" applyAlignment="1" pivotButton="0" quotePrefix="0" xfId="1">
      <alignment horizontal="center" vertical="center"/>
    </xf>
    <xf numFmtId="0" fontId="0" fillId="0" borderId="45" pivotButton="0" quotePrefix="0" xfId="0"/>
    <xf numFmtId="0" fontId="9" fillId="0" borderId="13" applyAlignment="1" applyProtection="1" pivotButton="0" quotePrefix="0" xfId="1">
      <alignment horizontal="center" vertical="center"/>
      <protection locked="0" hidden="0"/>
    </xf>
    <xf numFmtId="0" fontId="0" fillId="0" borderId="45" applyProtection="1" pivotButton="0" quotePrefix="0" xfId="0">
      <protection locked="0" hidden="0"/>
    </xf>
    <xf numFmtId="0" fontId="0" fillId="0" borderId="21" pivotButton="0" quotePrefix="0" xfId="0"/>
    <xf numFmtId="166" fontId="9" fillId="5" borderId="9" applyAlignment="1" pivotButton="0" quotePrefix="0" xfId="1">
      <alignment horizontal="center" vertical="center"/>
    </xf>
    <xf numFmtId="0" fontId="0" fillId="0" borderId="61" pivotButton="0" quotePrefix="0" xfId="0"/>
    <xf numFmtId="0" fontId="0" fillId="0" borderId="11" pivotButton="0" quotePrefix="0" xfId="0"/>
    <xf numFmtId="0" fontId="0" fillId="0" borderId="72" pivotButton="0" quotePrefix="0" xfId="0"/>
    <xf numFmtId="0" fontId="0" fillId="0" borderId="28" pivotButton="0" quotePrefix="0" xfId="0"/>
    <xf numFmtId="0" fontId="0" fillId="0" borderId="39" pivotButton="0" quotePrefix="0" xfId="0"/>
    <xf numFmtId="0" fontId="0" fillId="0" borderId="26" pivotButton="0" quotePrefix="0" xfId="0"/>
    <xf numFmtId="0" fontId="0" fillId="0" borderId="27" pivotButton="0" quotePrefix="0" xfId="0"/>
    <xf numFmtId="164" fontId="9" fillId="0" borderId="15" applyAlignment="1" applyProtection="1" pivotButton="0" quotePrefix="0" xfId="1">
      <alignment horizontal="center" vertical="center" wrapText="1"/>
      <protection locked="0" hidden="0"/>
    </xf>
    <xf numFmtId="0" fontId="0" fillId="0" borderId="17" applyProtection="1" pivotButton="0" quotePrefix="0" xfId="0">
      <protection locked="0" hidden="0"/>
    </xf>
    <xf numFmtId="0" fontId="0" fillId="0" borderId="18" applyProtection="1" pivotButton="0" quotePrefix="0" xfId="0">
      <protection locked="0" hidden="0"/>
    </xf>
    <xf numFmtId="167" fontId="9" fillId="5" borderId="15" applyAlignment="1" pivotButton="0" quotePrefix="0" xfId="1">
      <alignment horizontal="center" vertical="center" wrapText="1"/>
    </xf>
    <xf numFmtId="0" fontId="0" fillId="0" borderId="17" pivotButton="0" quotePrefix="0" xfId="0"/>
    <xf numFmtId="0" fontId="0" fillId="0" borderId="18" pivotButton="0" quotePrefix="0" xfId="0"/>
    <xf numFmtId="0" fontId="0" fillId="0" borderId="6" pivotButton="0" quotePrefix="0" xfId="0"/>
    <xf numFmtId="0" fontId="0" fillId="0" borderId="29" pivotButton="0" quotePrefix="0" xfId="0"/>
    <xf numFmtId="0" fontId="8" fillId="0" borderId="15" applyAlignment="1" pivotButton="0" quotePrefix="0" xfId="1">
      <alignment horizontal="center" vertical="center"/>
    </xf>
    <xf numFmtId="164" fontId="8" fillId="0" borderId="9" applyAlignment="1" applyProtection="1" pivotButton="0" quotePrefix="0" xfId="1">
      <alignment horizontal="center" vertical="center" wrapText="1"/>
      <protection locked="0" hidden="0"/>
    </xf>
    <xf numFmtId="165" fontId="8" fillId="0" borderId="9" applyAlignment="1" applyProtection="1" pivotButton="0" quotePrefix="0" xfId="1">
      <alignment horizontal="center" vertical="center" wrapText="1"/>
      <protection locked="0" hidden="0"/>
    </xf>
    <xf numFmtId="165" fontId="9" fillId="5" borderId="22" applyAlignment="1" pivotButton="0" quotePrefix="0" xfId="1">
      <alignment horizontal="center" vertical="center" wrapText="1"/>
    </xf>
    <xf numFmtId="164" fontId="3" fillId="0" borderId="0" applyAlignment="1" pivotButton="0" quotePrefix="0" xfId="1">
      <alignment horizontal="center" vertical="center"/>
    </xf>
    <xf numFmtId="0" fontId="0" fillId="0" borderId="23" pivotButton="0" quotePrefix="0" xfId="0"/>
    <xf numFmtId="0" fontId="0" fillId="0" borderId="24" pivotButton="0" quotePrefix="0" xfId="0"/>
    <xf numFmtId="0" fontId="0" fillId="0" borderId="25" pivotButton="0" quotePrefix="0" xfId="0"/>
    <xf numFmtId="0" fontId="0" fillId="0" borderId="41" pivotButton="0" quotePrefix="0" xfId="0"/>
    <xf numFmtId="0" fontId="0" fillId="0" borderId="38" pivotButton="0" quotePrefix="0" xfId="0"/>
    <xf numFmtId="0" fontId="0" fillId="0" borderId="37" pivotButton="0" quotePrefix="0" xfId="0"/>
    <xf numFmtId="0" fontId="8" fillId="0" borderId="73" applyAlignment="1" pivotButton="0" quotePrefix="0" xfId="1">
      <alignment horizontal="center" vertical="center" wrapText="1"/>
    </xf>
    <xf numFmtId="0" fontId="8" fillId="0" borderId="62" applyAlignment="1" pivotButton="0" quotePrefix="0" xfId="1">
      <alignment horizontal="center" vertical="center"/>
    </xf>
    <xf numFmtId="0" fontId="0" fillId="0" borderId="33" pivotButton="0" quotePrefix="0" xfId="0"/>
    <xf numFmtId="0" fontId="8" fillId="0" borderId="30" applyAlignment="1" applyProtection="1" pivotButton="0" quotePrefix="0" xfId="1">
      <alignment horizontal="center" vertical="center"/>
      <protection locked="0" hidden="0"/>
    </xf>
    <xf numFmtId="0" fontId="0" fillId="0" borderId="21" applyProtection="1" pivotButton="0" quotePrefix="0" xfId="0">
      <protection locked="0" hidden="0"/>
    </xf>
    <xf numFmtId="0" fontId="8" fillId="0" borderId="9" applyAlignment="1" applyProtection="1" pivotButton="0" quotePrefix="0" xfId="1">
      <alignment horizontal="center" vertical="center" wrapText="1" shrinkToFit="1"/>
      <protection locked="0" hidden="0"/>
    </xf>
    <xf numFmtId="165" fontId="8" fillId="0" borderId="9" applyAlignment="1" applyProtection="1" pivotButton="0" quotePrefix="0" xfId="1">
      <alignment horizontal="center" vertical="center"/>
      <protection locked="0" hidden="0"/>
    </xf>
    <xf numFmtId="165" fontId="9" fillId="5" borderId="19" applyAlignment="1" pivotButton="0" quotePrefix="0" xfId="1">
      <alignment horizontal="center" vertical="center"/>
    </xf>
    <xf numFmtId="0" fontId="0" fillId="0" borderId="47" pivotButton="0" quotePrefix="0" xfId="0"/>
    <xf numFmtId="0" fontId="8" fillId="0" borderId="9" applyAlignment="1" applyProtection="1" pivotButton="0" quotePrefix="0" xfId="1">
      <alignment horizontal="center" vertical="center" shrinkToFit="1"/>
      <protection locked="0" hidden="0"/>
    </xf>
    <xf numFmtId="0" fontId="0" fillId="0" borderId="48" pivotButton="0" quotePrefix="0" xfId="0"/>
    <xf numFmtId="0" fontId="0" fillId="0" borderId="46" pivotButton="0" quotePrefix="0" xfId="0"/>
    <xf numFmtId="0" fontId="8" fillId="0" borderId="15" applyAlignment="1" applyProtection="1" pivotButton="0" quotePrefix="0" xfId="1">
      <alignment horizontal="center" vertical="center"/>
      <protection locked="0" hidden="0"/>
    </xf>
    <xf numFmtId="0" fontId="8" fillId="0" borderId="15" applyAlignment="1" applyProtection="1" pivotButton="0" quotePrefix="0" xfId="1">
      <alignment horizontal="center" vertical="center" shrinkToFit="1"/>
      <protection locked="0" hidden="0"/>
    </xf>
    <xf numFmtId="165" fontId="8" fillId="0" borderId="15" applyAlignment="1" applyProtection="1" pivotButton="0" quotePrefix="0" xfId="1">
      <alignment horizontal="center" vertical="center"/>
      <protection locked="0" hidden="0"/>
    </xf>
    <xf numFmtId="0" fontId="0" fillId="0" borderId="49" pivotButton="0" quotePrefix="0" xfId="0"/>
    <xf numFmtId="0" fontId="8" fillId="0" borderId="3" applyAlignment="1" applyProtection="1" pivotButton="0" quotePrefix="0" xfId="1">
      <alignment horizontal="center" vertical="center" wrapText="1" shrinkToFit="1"/>
      <protection locked="0" hidden="0"/>
    </xf>
    <xf numFmtId="165" fontId="9" fillId="5" borderId="71" applyAlignment="1" pivotButton="0" quotePrefix="0" xfId="1">
      <alignment horizontal="center" vertical="center"/>
    </xf>
    <xf numFmtId="0" fontId="8" fillId="0" borderId="57" applyAlignment="1" pivotButton="0" quotePrefix="0" xfId="1">
      <alignment horizontal="center" vertical="center" shrinkToFit="1"/>
    </xf>
    <xf numFmtId="0" fontId="8" fillId="0" borderId="39" applyAlignment="1" applyProtection="1" pivotButton="0" quotePrefix="0" xfId="1">
      <alignment horizontal="center" vertical="center" shrinkToFit="1"/>
      <protection locked="0" hidden="0"/>
    </xf>
    <xf numFmtId="0" fontId="0" fillId="0" borderId="27" applyProtection="1" pivotButton="0" quotePrefix="0" xfId="0">
      <protection locked="0" hidden="0"/>
    </xf>
    <xf numFmtId="0" fontId="0" fillId="0" borderId="28" applyProtection="1" pivotButton="0" quotePrefix="0" xfId="0">
      <protection locked="0" hidden="0"/>
    </xf>
    <xf numFmtId="0" fontId="8" fillId="0" borderId="30" applyAlignment="1" pivotButton="0" quotePrefix="0" xfId="1">
      <alignment horizontal="center" vertical="center" shrinkToFit="1"/>
    </xf>
    <xf numFmtId="0" fontId="7" fillId="0" borderId="66" applyAlignment="1" pivotButton="0" quotePrefix="0" xfId="1">
      <alignment horizontal="center" vertical="center" wrapText="1"/>
    </xf>
    <xf numFmtId="0" fontId="0" fillId="0" borderId="35" pivotButton="0" quotePrefix="0" xfId="0"/>
    <xf numFmtId="0" fontId="9" fillId="0" borderId="3" applyAlignment="1" pivotButton="0" quotePrefix="0" xfId="1">
      <alignment horizontal="center" vertical="center"/>
    </xf>
    <xf numFmtId="0" fontId="7" fillId="0" borderId="68" applyAlignment="1" pivotButton="0" quotePrefix="0" xfId="1">
      <alignment horizontal="center" vertical="center" wrapText="1"/>
    </xf>
    <xf numFmtId="0" fontId="0" fillId="0" borderId="69" pivotButton="0" quotePrefix="0" xfId="0"/>
    <xf numFmtId="0" fontId="0" fillId="0" borderId="67" pivotButton="0" quotePrefix="0" xfId="0"/>
    <xf numFmtId="0" fontId="0" fillId="0" borderId="36" pivotButton="0" quotePrefix="0" xfId="0"/>
    <xf numFmtId="0" fontId="0" fillId="0" borderId="70" pivotButton="0" quotePrefix="0" xfId="0"/>
    <xf numFmtId="0" fontId="0" fillId="0" borderId="64" pivotButton="0" quotePrefix="0" xfId="0"/>
    <xf numFmtId="0" fontId="0" fillId="0" borderId="65" pivotButton="0" quotePrefix="0" xfId="0"/>
    <xf numFmtId="0" fontId="11" fillId="3" borderId="13" applyAlignment="1" applyProtection="1" pivotButton="0" quotePrefix="0" xfId="1">
      <alignment horizontal="center" vertical="center"/>
      <protection locked="0" hidden="0"/>
    </xf>
    <xf numFmtId="0" fontId="0" fillId="0" borderId="57" pivotButton="0" quotePrefix="0" xfId="0"/>
  </cellXfs>
  <cellStyles count="3">
    <cellStyle name="표준" xfId="0" builtinId="0"/>
    <cellStyle name="표준 2" xfId="1"/>
    <cellStyle name="표준 3" xfId="2"/>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30480</colOff>
      <row>35</row>
      <rowOff>30480</rowOff>
    </from>
    <to>
      <col>5</col>
      <colOff>2179320</colOff>
      <row>35</row>
      <rowOff>1120140</rowOff>
    </to>
    <pic>
      <nvPicPr>
        <cNvPr id="2" name="그림 1"/>
        <cNvPicPr>
          <a:picLocks noChangeAspect="1"/>
        </cNvPicPr>
      </nvPicPr>
      <blipFill>
        <a:blip r:embed="rId1"/>
        <a:stretch>
          <a:fillRect/>
        </a:stretch>
      </blipFill>
      <spPr>
        <a:xfrm>
          <a:off x="6865620" y="18737580"/>
          <a:ext cx="4488180" cy="1089660"/>
        </a:xfrm>
        <a:prstGeom prst="rect">
          <avLst/>
        </a:prstGeom>
        <a:ln>
          <a:prstDash val="solid"/>
        </a:ln>
      </spPr>
    </pic>
    <clientData/>
  </twoCellAnchor>
  <twoCellAnchor editAs="oneCell">
    <from>
      <col>3</col>
      <colOff>4800600</colOff>
      <row>35</row>
      <rowOff>1144905</rowOff>
    </from>
    <to>
      <col>5</col>
      <colOff>2179320</colOff>
      <row>35</row>
      <rowOff>2270760</rowOff>
    </to>
    <pic>
      <nvPicPr>
        <cNvPr id="3" name="그림 2"/>
        <cNvPicPr>
          <a:picLocks noChangeAspect="1"/>
        </cNvPicPr>
      </nvPicPr>
      <blipFill rotWithShape="1">
        <a:blip r:embed="rId2"/>
        <a:srcRect r="16828"/>
        <a:stretch>
          <a:fillRect/>
        </a:stretch>
      </blipFill>
      <spPr>
        <a:xfrm>
          <a:off x="6819900" y="19402425"/>
          <a:ext cx="4533900" cy="1125855"/>
        </a:xfrm>
        <a:prstGeom prst="rect">
          <avLst/>
        </a:prstGeom>
        <a:ln>
          <a:prstDash val="solid"/>
        </a:ln>
      </spPr>
    </pic>
    <clientData/>
  </twoCellAnchor>
</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codeName="Sheet12">
    <outlinePr summaryBelow="1" summaryRight="1"/>
    <pageSetUpPr fitToPage="1"/>
  </sheetPr>
  <dimension ref="A1:AL157"/>
  <sheetViews>
    <sheetView showZeros="0" tabSelected="1" zoomScaleNormal="100" workbookViewId="0">
      <selection activeCell="B3" sqref="B3:Q3"/>
    </sheetView>
  </sheetViews>
  <sheetFormatPr baseColWidth="10" defaultColWidth="8.83203125" defaultRowHeight="13"/>
  <cols>
    <col width="1.6640625" customWidth="1" style="85" min="1" max="1"/>
    <col width="7.6640625" customWidth="1" style="85" min="2" max="2"/>
    <col width="4.1640625" customWidth="1" style="85" min="3" max="3"/>
    <col width="9.6640625" customWidth="1" style="85" min="4" max="4"/>
    <col width="7.6640625" customWidth="1" style="85" min="5" max="5"/>
    <col width="5.6640625" customWidth="1" style="85" min="6" max="7"/>
    <col width="4.1640625" customWidth="1" style="85" min="8" max="9"/>
    <col width="7.6640625" customWidth="1" style="85" min="10" max="10"/>
    <col width="5.6640625" customWidth="1" style="85" min="11" max="12"/>
    <col width="9.6640625" customWidth="1" style="85" min="13" max="13"/>
    <col width="8.1640625" customWidth="1" style="85" min="14" max="14"/>
    <col width="10.6640625" customWidth="1" style="85" min="15" max="15"/>
    <col width="9.6640625" customWidth="1" style="85" min="16" max="17"/>
    <col width="9" customWidth="1" style="85" min="18" max="18"/>
    <col hidden="1" width="9" customWidth="1" style="85" min="19" max="26"/>
    <col hidden="1" width="9.5" customWidth="1" style="85" min="27" max="28"/>
    <col hidden="1" width="13.6640625" customWidth="1" style="85" min="29" max="29"/>
    <col hidden="1" width="9.5" customWidth="1" style="85" min="30" max="30"/>
    <col hidden="1" width="11.5" customWidth="1" style="85" min="31" max="31"/>
    <col hidden="1" width="5.5" customWidth="1" style="85" min="32" max="32"/>
    <col hidden="1" width="9" customWidth="1" style="85" min="33" max="34"/>
    <col hidden="1" width="24.6640625" customWidth="1" style="85" min="35" max="35"/>
    <col hidden="1" width="40.1640625" customWidth="1" style="85" min="36" max="36"/>
    <col hidden="1" width="11" customWidth="1" style="85" min="37" max="37"/>
    <col hidden="1" width="31.6640625" customWidth="1" style="85" min="38" max="38"/>
    <col hidden="1" width="8.6640625" customWidth="1" style="85" min="39" max="39"/>
    <col hidden="1" style="85" min="40" max="40"/>
    <col width="9" customWidth="1" style="85" min="41" max="261"/>
    <col width="1.6640625" customWidth="1" style="85" min="262" max="262"/>
    <col width="7.6640625" customWidth="1" style="85" min="263" max="263"/>
    <col width="4.1640625" customWidth="1" style="85" min="264" max="264"/>
    <col width="9.6640625" customWidth="1" style="85" min="265" max="265"/>
    <col width="7.6640625" customWidth="1" style="85" min="266" max="266"/>
    <col width="10.5" bestFit="1" customWidth="1" style="85" min="267" max="267"/>
    <col width="7.6640625" customWidth="1" style="85" min="268" max="269"/>
    <col width="10.5" bestFit="1" customWidth="1" style="85" min="270" max="270"/>
    <col width="9.6640625" customWidth="1" style="85" min="271" max="271"/>
    <col width="8.1640625" customWidth="1" style="85" min="272" max="272"/>
    <col width="10.5" bestFit="1" customWidth="1" style="85" min="273" max="273"/>
    <col width="9.6640625" customWidth="1" style="85" min="274" max="275"/>
    <col width="9" customWidth="1" style="85" min="276" max="517"/>
    <col width="1.6640625" customWidth="1" style="85" min="518" max="518"/>
    <col width="7.6640625" customWidth="1" style="85" min="519" max="519"/>
    <col width="4.1640625" customWidth="1" style="85" min="520" max="520"/>
    <col width="9.6640625" customWidth="1" style="85" min="521" max="521"/>
    <col width="7.6640625" customWidth="1" style="85" min="522" max="522"/>
    <col width="10.5" bestFit="1" customWidth="1" style="85" min="523" max="523"/>
    <col width="7.6640625" customWidth="1" style="85" min="524" max="525"/>
    <col width="10.5" bestFit="1" customWidth="1" style="85" min="526" max="526"/>
    <col width="9.6640625" customWidth="1" style="85" min="527" max="527"/>
    <col width="8.1640625" customWidth="1" style="85" min="528" max="528"/>
    <col width="10.5" bestFit="1" customWidth="1" style="85" min="529" max="529"/>
    <col width="9.6640625" customWidth="1" style="85" min="530" max="531"/>
    <col width="9" customWidth="1" style="85" min="532" max="773"/>
    <col width="1.6640625" customWidth="1" style="85" min="774" max="774"/>
    <col width="7.6640625" customWidth="1" style="85" min="775" max="775"/>
    <col width="4.1640625" customWidth="1" style="85" min="776" max="776"/>
    <col width="9.6640625" customWidth="1" style="85" min="777" max="777"/>
    <col width="7.6640625" customWidth="1" style="85" min="778" max="778"/>
    <col width="10.5" bestFit="1" customWidth="1" style="85" min="779" max="779"/>
    <col width="7.6640625" customWidth="1" style="85" min="780" max="781"/>
    <col width="10.5" bestFit="1" customWidth="1" style="85" min="782" max="782"/>
    <col width="9.6640625" customWidth="1" style="85" min="783" max="783"/>
    <col width="8.1640625" customWidth="1" style="85" min="784" max="784"/>
    <col width="10.5" bestFit="1" customWidth="1" style="85" min="785" max="785"/>
    <col width="9.6640625" customWidth="1" style="85" min="786" max="787"/>
    <col width="9" customWidth="1" style="85" min="788" max="1029"/>
    <col width="1.6640625" customWidth="1" style="85" min="1030" max="1030"/>
    <col width="7.6640625" customWidth="1" style="85" min="1031" max="1031"/>
    <col width="4.1640625" customWidth="1" style="85" min="1032" max="1032"/>
    <col width="9.6640625" customWidth="1" style="85" min="1033" max="1033"/>
    <col width="7.6640625" customWidth="1" style="85" min="1034" max="1034"/>
    <col width="10.5" bestFit="1" customWidth="1" style="85" min="1035" max="1035"/>
    <col width="7.6640625" customWidth="1" style="85" min="1036" max="1037"/>
    <col width="10.5" bestFit="1" customWidth="1" style="85" min="1038" max="1038"/>
    <col width="9.6640625" customWidth="1" style="85" min="1039" max="1039"/>
    <col width="8.1640625" customWidth="1" style="85" min="1040" max="1040"/>
    <col width="10.5" bestFit="1" customWidth="1" style="85" min="1041" max="1041"/>
    <col width="9.6640625" customWidth="1" style="85" min="1042" max="1043"/>
    <col width="9" customWidth="1" style="85" min="1044" max="1285"/>
    <col width="1.6640625" customWidth="1" style="85" min="1286" max="1286"/>
    <col width="7.6640625" customWidth="1" style="85" min="1287" max="1287"/>
    <col width="4.1640625" customWidth="1" style="85" min="1288" max="1288"/>
    <col width="9.6640625" customWidth="1" style="85" min="1289" max="1289"/>
    <col width="7.6640625" customWidth="1" style="85" min="1290" max="1290"/>
    <col width="10.5" bestFit="1" customWidth="1" style="85" min="1291" max="1291"/>
    <col width="7.6640625" customWidth="1" style="85" min="1292" max="1293"/>
    <col width="10.5" bestFit="1" customWidth="1" style="85" min="1294" max="1294"/>
    <col width="9.6640625" customWidth="1" style="85" min="1295" max="1295"/>
    <col width="8.1640625" customWidth="1" style="85" min="1296" max="1296"/>
    <col width="10.5" bestFit="1" customWidth="1" style="85" min="1297" max="1297"/>
    <col width="9.6640625" customWidth="1" style="85" min="1298" max="1299"/>
    <col width="9" customWidth="1" style="85" min="1300" max="1541"/>
    <col width="1.6640625" customWidth="1" style="85" min="1542" max="1542"/>
    <col width="7.6640625" customWidth="1" style="85" min="1543" max="1543"/>
    <col width="4.1640625" customWidth="1" style="85" min="1544" max="1544"/>
    <col width="9.6640625" customWidth="1" style="85" min="1545" max="1545"/>
    <col width="7.6640625" customWidth="1" style="85" min="1546" max="1546"/>
    <col width="10.5" bestFit="1" customWidth="1" style="85" min="1547" max="1547"/>
    <col width="7.6640625" customWidth="1" style="85" min="1548" max="1549"/>
    <col width="10.5" bestFit="1" customWidth="1" style="85" min="1550" max="1550"/>
    <col width="9.6640625" customWidth="1" style="85" min="1551" max="1551"/>
    <col width="8.1640625" customWidth="1" style="85" min="1552" max="1552"/>
    <col width="10.5" bestFit="1" customWidth="1" style="85" min="1553" max="1553"/>
    <col width="9.6640625" customWidth="1" style="85" min="1554" max="1555"/>
    <col width="9" customWidth="1" style="85" min="1556" max="1797"/>
    <col width="1.6640625" customWidth="1" style="85" min="1798" max="1798"/>
    <col width="7.6640625" customWidth="1" style="85" min="1799" max="1799"/>
    <col width="4.1640625" customWidth="1" style="85" min="1800" max="1800"/>
    <col width="9.6640625" customWidth="1" style="85" min="1801" max="1801"/>
    <col width="7.6640625" customWidth="1" style="85" min="1802" max="1802"/>
    <col width="10.5" bestFit="1" customWidth="1" style="85" min="1803" max="1803"/>
    <col width="7.6640625" customWidth="1" style="85" min="1804" max="1805"/>
    <col width="10.5" bestFit="1" customWidth="1" style="85" min="1806" max="1806"/>
    <col width="9.6640625" customWidth="1" style="85" min="1807" max="1807"/>
    <col width="8.1640625" customWidth="1" style="85" min="1808" max="1808"/>
    <col width="10.5" bestFit="1" customWidth="1" style="85" min="1809" max="1809"/>
    <col width="9.6640625" customWidth="1" style="85" min="1810" max="1811"/>
    <col width="9" customWidth="1" style="85" min="1812" max="2053"/>
    <col width="1.6640625" customWidth="1" style="85" min="2054" max="2054"/>
    <col width="7.6640625" customWidth="1" style="85" min="2055" max="2055"/>
    <col width="4.1640625" customWidth="1" style="85" min="2056" max="2056"/>
    <col width="9.6640625" customWidth="1" style="85" min="2057" max="2057"/>
    <col width="7.6640625" customWidth="1" style="85" min="2058" max="2058"/>
    <col width="10.5" bestFit="1" customWidth="1" style="85" min="2059" max="2059"/>
    <col width="7.6640625" customWidth="1" style="85" min="2060" max="2061"/>
    <col width="10.5" bestFit="1" customWidth="1" style="85" min="2062" max="2062"/>
    <col width="9.6640625" customWidth="1" style="85" min="2063" max="2063"/>
    <col width="8.1640625" customWidth="1" style="85" min="2064" max="2064"/>
    <col width="10.5" bestFit="1" customWidth="1" style="85" min="2065" max="2065"/>
    <col width="9.6640625" customWidth="1" style="85" min="2066" max="2067"/>
    <col width="9" customWidth="1" style="85" min="2068" max="2309"/>
    <col width="1.6640625" customWidth="1" style="85" min="2310" max="2310"/>
    <col width="7.6640625" customWidth="1" style="85" min="2311" max="2311"/>
    <col width="4.1640625" customWidth="1" style="85" min="2312" max="2312"/>
    <col width="9.6640625" customWidth="1" style="85" min="2313" max="2313"/>
    <col width="7.6640625" customWidth="1" style="85" min="2314" max="2314"/>
    <col width="10.5" bestFit="1" customWidth="1" style="85" min="2315" max="2315"/>
    <col width="7.6640625" customWidth="1" style="85" min="2316" max="2317"/>
    <col width="10.5" bestFit="1" customWidth="1" style="85" min="2318" max="2318"/>
    <col width="9.6640625" customWidth="1" style="85" min="2319" max="2319"/>
    <col width="8.1640625" customWidth="1" style="85" min="2320" max="2320"/>
    <col width="10.5" bestFit="1" customWidth="1" style="85" min="2321" max="2321"/>
    <col width="9.6640625" customWidth="1" style="85" min="2322" max="2323"/>
    <col width="9" customWidth="1" style="85" min="2324" max="2565"/>
    <col width="1.6640625" customWidth="1" style="85" min="2566" max="2566"/>
    <col width="7.6640625" customWidth="1" style="85" min="2567" max="2567"/>
    <col width="4.1640625" customWidth="1" style="85" min="2568" max="2568"/>
    <col width="9.6640625" customWidth="1" style="85" min="2569" max="2569"/>
    <col width="7.6640625" customWidth="1" style="85" min="2570" max="2570"/>
    <col width="10.5" bestFit="1" customWidth="1" style="85" min="2571" max="2571"/>
    <col width="7.6640625" customWidth="1" style="85" min="2572" max="2573"/>
    <col width="10.5" bestFit="1" customWidth="1" style="85" min="2574" max="2574"/>
    <col width="9.6640625" customWidth="1" style="85" min="2575" max="2575"/>
    <col width="8.1640625" customWidth="1" style="85" min="2576" max="2576"/>
    <col width="10.5" bestFit="1" customWidth="1" style="85" min="2577" max="2577"/>
    <col width="9.6640625" customWidth="1" style="85" min="2578" max="2579"/>
    <col width="9" customWidth="1" style="85" min="2580" max="2821"/>
    <col width="1.6640625" customWidth="1" style="85" min="2822" max="2822"/>
    <col width="7.6640625" customWidth="1" style="85" min="2823" max="2823"/>
    <col width="4.1640625" customWidth="1" style="85" min="2824" max="2824"/>
    <col width="9.6640625" customWidth="1" style="85" min="2825" max="2825"/>
    <col width="7.6640625" customWidth="1" style="85" min="2826" max="2826"/>
    <col width="10.5" bestFit="1" customWidth="1" style="85" min="2827" max="2827"/>
    <col width="7.6640625" customWidth="1" style="85" min="2828" max="2829"/>
    <col width="10.5" bestFit="1" customWidth="1" style="85" min="2830" max="2830"/>
    <col width="9.6640625" customWidth="1" style="85" min="2831" max="2831"/>
    <col width="8.1640625" customWidth="1" style="85" min="2832" max="2832"/>
    <col width="10.5" bestFit="1" customWidth="1" style="85" min="2833" max="2833"/>
    <col width="9.6640625" customWidth="1" style="85" min="2834" max="2835"/>
    <col width="9" customWidth="1" style="85" min="2836" max="3077"/>
    <col width="1.6640625" customWidth="1" style="85" min="3078" max="3078"/>
    <col width="7.6640625" customWidth="1" style="85" min="3079" max="3079"/>
    <col width="4.1640625" customWidth="1" style="85" min="3080" max="3080"/>
    <col width="9.6640625" customWidth="1" style="85" min="3081" max="3081"/>
    <col width="7.6640625" customWidth="1" style="85" min="3082" max="3082"/>
    <col width="10.5" bestFit="1" customWidth="1" style="85" min="3083" max="3083"/>
    <col width="7.6640625" customWidth="1" style="85" min="3084" max="3085"/>
    <col width="10.5" bestFit="1" customWidth="1" style="85" min="3086" max="3086"/>
    <col width="9.6640625" customWidth="1" style="85" min="3087" max="3087"/>
    <col width="8.1640625" customWidth="1" style="85" min="3088" max="3088"/>
    <col width="10.5" bestFit="1" customWidth="1" style="85" min="3089" max="3089"/>
    <col width="9.6640625" customWidth="1" style="85" min="3090" max="3091"/>
    <col width="9" customWidth="1" style="85" min="3092" max="3333"/>
    <col width="1.6640625" customWidth="1" style="85" min="3334" max="3334"/>
    <col width="7.6640625" customWidth="1" style="85" min="3335" max="3335"/>
    <col width="4.1640625" customWidth="1" style="85" min="3336" max="3336"/>
    <col width="9.6640625" customWidth="1" style="85" min="3337" max="3337"/>
    <col width="7.6640625" customWidth="1" style="85" min="3338" max="3338"/>
    <col width="10.5" bestFit="1" customWidth="1" style="85" min="3339" max="3339"/>
    <col width="7.6640625" customWidth="1" style="85" min="3340" max="3341"/>
    <col width="10.5" bestFit="1" customWidth="1" style="85" min="3342" max="3342"/>
    <col width="9.6640625" customWidth="1" style="85" min="3343" max="3343"/>
    <col width="8.1640625" customWidth="1" style="85" min="3344" max="3344"/>
    <col width="10.5" bestFit="1" customWidth="1" style="85" min="3345" max="3345"/>
    <col width="9.6640625" customWidth="1" style="85" min="3346" max="3347"/>
    <col width="9" customWidth="1" style="85" min="3348" max="3589"/>
    <col width="1.6640625" customWidth="1" style="85" min="3590" max="3590"/>
    <col width="7.6640625" customWidth="1" style="85" min="3591" max="3591"/>
    <col width="4.1640625" customWidth="1" style="85" min="3592" max="3592"/>
    <col width="9.6640625" customWidth="1" style="85" min="3593" max="3593"/>
    <col width="7.6640625" customWidth="1" style="85" min="3594" max="3594"/>
    <col width="10.5" bestFit="1" customWidth="1" style="85" min="3595" max="3595"/>
    <col width="7.6640625" customWidth="1" style="85" min="3596" max="3597"/>
    <col width="10.5" bestFit="1" customWidth="1" style="85" min="3598" max="3598"/>
    <col width="9.6640625" customWidth="1" style="85" min="3599" max="3599"/>
    <col width="8.1640625" customWidth="1" style="85" min="3600" max="3600"/>
    <col width="10.5" bestFit="1" customWidth="1" style="85" min="3601" max="3601"/>
    <col width="9.6640625" customWidth="1" style="85" min="3602" max="3603"/>
    <col width="9" customWidth="1" style="85" min="3604" max="3845"/>
    <col width="1.6640625" customWidth="1" style="85" min="3846" max="3846"/>
    <col width="7.6640625" customWidth="1" style="85" min="3847" max="3847"/>
    <col width="4.1640625" customWidth="1" style="85" min="3848" max="3848"/>
    <col width="9.6640625" customWidth="1" style="85" min="3849" max="3849"/>
    <col width="7.6640625" customWidth="1" style="85" min="3850" max="3850"/>
    <col width="10.5" bestFit="1" customWidth="1" style="85" min="3851" max="3851"/>
    <col width="7.6640625" customWidth="1" style="85" min="3852" max="3853"/>
    <col width="10.5" bestFit="1" customWidth="1" style="85" min="3854" max="3854"/>
    <col width="9.6640625" customWidth="1" style="85" min="3855" max="3855"/>
    <col width="8.1640625" customWidth="1" style="85" min="3856" max="3856"/>
    <col width="10.5" bestFit="1" customWidth="1" style="85" min="3857" max="3857"/>
    <col width="9.6640625" customWidth="1" style="85" min="3858" max="3859"/>
    <col width="9" customWidth="1" style="85" min="3860" max="4101"/>
    <col width="1.6640625" customWidth="1" style="85" min="4102" max="4102"/>
    <col width="7.6640625" customWidth="1" style="85" min="4103" max="4103"/>
    <col width="4.1640625" customWidth="1" style="85" min="4104" max="4104"/>
    <col width="9.6640625" customWidth="1" style="85" min="4105" max="4105"/>
    <col width="7.6640625" customWidth="1" style="85" min="4106" max="4106"/>
    <col width="10.5" bestFit="1" customWidth="1" style="85" min="4107" max="4107"/>
    <col width="7.6640625" customWidth="1" style="85" min="4108" max="4109"/>
    <col width="10.5" bestFit="1" customWidth="1" style="85" min="4110" max="4110"/>
    <col width="9.6640625" customWidth="1" style="85" min="4111" max="4111"/>
    <col width="8.1640625" customWidth="1" style="85" min="4112" max="4112"/>
    <col width="10.5" bestFit="1" customWidth="1" style="85" min="4113" max="4113"/>
    <col width="9.6640625" customWidth="1" style="85" min="4114" max="4115"/>
    <col width="9" customWidth="1" style="85" min="4116" max="4357"/>
    <col width="1.6640625" customWidth="1" style="85" min="4358" max="4358"/>
    <col width="7.6640625" customWidth="1" style="85" min="4359" max="4359"/>
    <col width="4.1640625" customWidth="1" style="85" min="4360" max="4360"/>
    <col width="9.6640625" customWidth="1" style="85" min="4361" max="4361"/>
    <col width="7.6640625" customWidth="1" style="85" min="4362" max="4362"/>
    <col width="10.5" bestFit="1" customWidth="1" style="85" min="4363" max="4363"/>
    <col width="7.6640625" customWidth="1" style="85" min="4364" max="4365"/>
    <col width="10.5" bestFit="1" customWidth="1" style="85" min="4366" max="4366"/>
    <col width="9.6640625" customWidth="1" style="85" min="4367" max="4367"/>
    <col width="8.1640625" customWidth="1" style="85" min="4368" max="4368"/>
    <col width="10.5" bestFit="1" customWidth="1" style="85" min="4369" max="4369"/>
    <col width="9.6640625" customWidth="1" style="85" min="4370" max="4371"/>
    <col width="9" customWidth="1" style="85" min="4372" max="4613"/>
    <col width="1.6640625" customWidth="1" style="85" min="4614" max="4614"/>
    <col width="7.6640625" customWidth="1" style="85" min="4615" max="4615"/>
    <col width="4.1640625" customWidth="1" style="85" min="4616" max="4616"/>
    <col width="9.6640625" customWidth="1" style="85" min="4617" max="4617"/>
    <col width="7.6640625" customWidth="1" style="85" min="4618" max="4618"/>
    <col width="10.5" bestFit="1" customWidth="1" style="85" min="4619" max="4619"/>
    <col width="7.6640625" customWidth="1" style="85" min="4620" max="4621"/>
    <col width="10.5" bestFit="1" customWidth="1" style="85" min="4622" max="4622"/>
    <col width="9.6640625" customWidth="1" style="85" min="4623" max="4623"/>
    <col width="8.1640625" customWidth="1" style="85" min="4624" max="4624"/>
    <col width="10.5" bestFit="1" customWidth="1" style="85" min="4625" max="4625"/>
    <col width="9.6640625" customWidth="1" style="85" min="4626" max="4627"/>
    <col width="9" customWidth="1" style="85" min="4628" max="4869"/>
    <col width="1.6640625" customWidth="1" style="85" min="4870" max="4870"/>
    <col width="7.6640625" customWidth="1" style="85" min="4871" max="4871"/>
    <col width="4.1640625" customWidth="1" style="85" min="4872" max="4872"/>
    <col width="9.6640625" customWidth="1" style="85" min="4873" max="4873"/>
    <col width="7.6640625" customWidth="1" style="85" min="4874" max="4874"/>
    <col width="10.5" bestFit="1" customWidth="1" style="85" min="4875" max="4875"/>
    <col width="7.6640625" customWidth="1" style="85" min="4876" max="4877"/>
    <col width="10.5" bestFit="1" customWidth="1" style="85" min="4878" max="4878"/>
    <col width="9.6640625" customWidth="1" style="85" min="4879" max="4879"/>
    <col width="8.1640625" customWidth="1" style="85" min="4880" max="4880"/>
    <col width="10.5" bestFit="1" customWidth="1" style="85" min="4881" max="4881"/>
    <col width="9.6640625" customWidth="1" style="85" min="4882" max="4883"/>
    <col width="9" customWidth="1" style="85" min="4884" max="5125"/>
    <col width="1.6640625" customWidth="1" style="85" min="5126" max="5126"/>
    <col width="7.6640625" customWidth="1" style="85" min="5127" max="5127"/>
    <col width="4.1640625" customWidth="1" style="85" min="5128" max="5128"/>
    <col width="9.6640625" customWidth="1" style="85" min="5129" max="5129"/>
    <col width="7.6640625" customWidth="1" style="85" min="5130" max="5130"/>
    <col width="10.5" bestFit="1" customWidth="1" style="85" min="5131" max="5131"/>
    <col width="7.6640625" customWidth="1" style="85" min="5132" max="5133"/>
    <col width="10.5" bestFit="1" customWidth="1" style="85" min="5134" max="5134"/>
    <col width="9.6640625" customWidth="1" style="85" min="5135" max="5135"/>
    <col width="8.1640625" customWidth="1" style="85" min="5136" max="5136"/>
    <col width="10.5" bestFit="1" customWidth="1" style="85" min="5137" max="5137"/>
    <col width="9.6640625" customWidth="1" style="85" min="5138" max="5139"/>
    <col width="9" customWidth="1" style="85" min="5140" max="5381"/>
    <col width="1.6640625" customWidth="1" style="85" min="5382" max="5382"/>
    <col width="7.6640625" customWidth="1" style="85" min="5383" max="5383"/>
    <col width="4.1640625" customWidth="1" style="85" min="5384" max="5384"/>
    <col width="9.6640625" customWidth="1" style="85" min="5385" max="5385"/>
    <col width="7.6640625" customWidth="1" style="85" min="5386" max="5386"/>
    <col width="10.5" bestFit="1" customWidth="1" style="85" min="5387" max="5387"/>
    <col width="7.6640625" customWidth="1" style="85" min="5388" max="5389"/>
    <col width="10.5" bestFit="1" customWidth="1" style="85" min="5390" max="5390"/>
    <col width="9.6640625" customWidth="1" style="85" min="5391" max="5391"/>
    <col width="8.1640625" customWidth="1" style="85" min="5392" max="5392"/>
    <col width="10.5" bestFit="1" customWidth="1" style="85" min="5393" max="5393"/>
    <col width="9.6640625" customWidth="1" style="85" min="5394" max="5395"/>
    <col width="9" customWidth="1" style="85" min="5396" max="5637"/>
    <col width="1.6640625" customWidth="1" style="85" min="5638" max="5638"/>
    <col width="7.6640625" customWidth="1" style="85" min="5639" max="5639"/>
    <col width="4.1640625" customWidth="1" style="85" min="5640" max="5640"/>
    <col width="9.6640625" customWidth="1" style="85" min="5641" max="5641"/>
    <col width="7.6640625" customWidth="1" style="85" min="5642" max="5642"/>
    <col width="10.5" bestFit="1" customWidth="1" style="85" min="5643" max="5643"/>
    <col width="7.6640625" customWidth="1" style="85" min="5644" max="5645"/>
    <col width="10.5" bestFit="1" customWidth="1" style="85" min="5646" max="5646"/>
    <col width="9.6640625" customWidth="1" style="85" min="5647" max="5647"/>
    <col width="8.1640625" customWidth="1" style="85" min="5648" max="5648"/>
    <col width="10.5" bestFit="1" customWidth="1" style="85" min="5649" max="5649"/>
    <col width="9.6640625" customWidth="1" style="85" min="5650" max="5651"/>
    <col width="9" customWidth="1" style="85" min="5652" max="5893"/>
    <col width="1.6640625" customWidth="1" style="85" min="5894" max="5894"/>
    <col width="7.6640625" customWidth="1" style="85" min="5895" max="5895"/>
    <col width="4.1640625" customWidth="1" style="85" min="5896" max="5896"/>
    <col width="9.6640625" customWidth="1" style="85" min="5897" max="5897"/>
    <col width="7.6640625" customWidth="1" style="85" min="5898" max="5898"/>
    <col width="10.5" bestFit="1" customWidth="1" style="85" min="5899" max="5899"/>
    <col width="7.6640625" customWidth="1" style="85" min="5900" max="5901"/>
    <col width="10.5" bestFit="1" customWidth="1" style="85" min="5902" max="5902"/>
    <col width="9.6640625" customWidth="1" style="85" min="5903" max="5903"/>
    <col width="8.1640625" customWidth="1" style="85" min="5904" max="5904"/>
    <col width="10.5" bestFit="1" customWidth="1" style="85" min="5905" max="5905"/>
    <col width="9.6640625" customWidth="1" style="85" min="5906" max="5907"/>
    <col width="9" customWidth="1" style="85" min="5908" max="6149"/>
    <col width="1.6640625" customWidth="1" style="85" min="6150" max="6150"/>
    <col width="7.6640625" customWidth="1" style="85" min="6151" max="6151"/>
    <col width="4.1640625" customWidth="1" style="85" min="6152" max="6152"/>
    <col width="9.6640625" customWidth="1" style="85" min="6153" max="6153"/>
    <col width="7.6640625" customWidth="1" style="85" min="6154" max="6154"/>
    <col width="10.5" bestFit="1" customWidth="1" style="85" min="6155" max="6155"/>
    <col width="7.6640625" customWidth="1" style="85" min="6156" max="6157"/>
    <col width="10.5" bestFit="1" customWidth="1" style="85" min="6158" max="6158"/>
    <col width="9.6640625" customWidth="1" style="85" min="6159" max="6159"/>
    <col width="8.1640625" customWidth="1" style="85" min="6160" max="6160"/>
    <col width="10.5" bestFit="1" customWidth="1" style="85" min="6161" max="6161"/>
    <col width="9.6640625" customWidth="1" style="85" min="6162" max="6163"/>
    <col width="9" customWidth="1" style="85" min="6164" max="6405"/>
    <col width="1.6640625" customWidth="1" style="85" min="6406" max="6406"/>
    <col width="7.6640625" customWidth="1" style="85" min="6407" max="6407"/>
    <col width="4.1640625" customWidth="1" style="85" min="6408" max="6408"/>
    <col width="9.6640625" customWidth="1" style="85" min="6409" max="6409"/>
    <col width="7.6640625" customWidth="1" style="85" min="6410" max="6410"/>
    <col width="10.5" bestFit="1" customWidth="1" style="85" min="6411" max="6411"/>
    <col width="7.6640625" customWidth="1" style="85" min="6412" max="6413"/>
    <col width="10.5" bestFit="1" customWidth="1" style="85" min="6414" max="6414"/>
    <col width="9.6640625" customWidth="1" style="85" min="6415" max="6415"/>
    <col width="8.1640625" customWidth="1" style="85" min="6416" max="6416"/>
    <col width="10.5" bestFit="1" customWidth="1" style="85" min="6417" max="6417"/>
    <col width="9.6640625" customWidth="1" style="85" min="6418" max="6419"/>
    <col width="9" customWidth="1" style="85" min="6420" max="6661"/>
    <col width="1.6640625" customWidth="1" style="85" min="6662" max="6662"/>
    <col width="7.6640625" customWidth="1" style="85" min="6663" max="6663"/>
    <col width="4.1640625" customWidth="1" style="85" min="6664" max="6664"/>
    <col width="9.6640625" customWidth="1" style="85" min="6665" max="6665"/>
    <col width="7.6640625" customWidth="1" style="85" min="6666" max="6666"/>
    <col width="10.5" bestFit="1" customWidth="1" style="85" min="6667" max="6667"/>
    <col width="7.6640625" customWidth="1" style="85" min="6668" max="6669"/>
    <col width="10.5" bestFit="1" customWidth="1" style="85" min="6670" max="6670"/>
    <col width="9.6640625" customWidth="1" style="85" min="6671" max="6671"/>
    <col width="8.1640625" customWidth="1" style="85" min="6672" max="6672"/>
    <col width="10.5" bestFit="1" customWidth="1" style="85" min="6673" max="6673"/>
    <col width="9.6640625" customWidth="1" style="85" min="6674" max="6675"/>
    <col width="9" customWidth="1" style="85" min="6676" max="6917"/>
    <col width="1.6640625" customWidth="1" style="85" min="6918" max="6918"/>
    <col width="7.6640625" customWidth="1" style="85" min="6919" max="6919"/>
    <col width="4.1640625" customWidth="1" style="85" min="6920" max="6920"/>
    <col width="9.6640625" customWidth="1" style="85" min="6921" max="6921"/>
    <col width="7.6640625" customWidth="1" style="85" min="6922" max="6922"/>
    <col width="10.5" bestFit="1" customWidth="1" style="85" min="6923" max="6923"/>
    <col width="7.6640625" customWidth="1" style="85" min="6924" max="6925"/>
    <col width="10.5" bestFit="1" customWidth="1" style="85" min="6926" max="6926"/>
    <col width="9.6640625" customWidth="1" style="85" min="6927" max="6927"/>
    <col width="8.1640625" customWidth="1" style="85" min="6928" max="6928"/>
    <col width="10.5" bestFit="1" customWidth="1" style="85" min="6929" max="6929"/>
    <col width="9.6640625" customWidth="1" style="85" min="6930" max="6931"/>
    <col width="9" customWidth="1" style="85" min="6932" max="7173"/>
    <col width="1.6640625" customWidth="1" style="85" min="7174" max="7174"/>
    <col width="7.6640625" customWidth="1" style="85" min="7175" max="7175"/>
    <col width="4.1640625" customWidth="1" style="85" min="7176" max="7176"/>
    <col width="9.6640625" customWidth="1" style="85" min="7177" max="7177"/>
    <col width="7.6640625" customWidth="1" style="85" min="7178" max="7178"/>
    <col width="10.5" bestFit="1" customWidth="1" style="85" min="7179" max="7179"/>
    <col width="7.6640625" customWidth="1" style="85" min="7180" max="7181"/>
    <col width="10.5" bestFit="1" customWidth="1" style="85" min="7182" max="7182"/>
    <col width="9.6640625" customWidth="1" style="85" min="7183" max="7183"/>
    <col width="8.1640625" customWidth="1" style="85" min="7184" max="7184"/>
    <col width="10.5" bestFit="1" customWidth="1" style="85" min="7185" max="7185"/>
    <col width="9.6640625" customWidth="1" style="85" min="7186" max="7187"/>
    <col width="9" customWidth="1" style="85" min="7188" max="7429"/>
    <col width="1.6640625" customWidth="1" style="85" min="7430" max="7430"/>
    <col width="7.6640625" customWidth="1" style="85" min="7431" max="7431"/>
    <col width="4.1640625" customWidth="1" style="85" min="7432" max="7432"/>
    <col width="9.6640625" customWidth="1" style="85" min="7433" max="7433"/>
    <col width="7.6640625" customWidth="1" style="85" min="7434" max="7434"/>
    <col width="10.5" bestFit="1" customWidth="1" style="85" min="7435" max="7435"/>
    <col width="7.6640625" customWidth="1" style="85" min="7436" max="7437"/>
    <col width="10.5" bestFit="1" customWidth="1" style="85" min="7438" max="7438"/>
    <col width="9.6640625" customWidth="1" style="85" min="7439" max="7439"/>
    <col width="8.1640625" customWidth="1" style="85" min="7440" max="7440"/>
    <col width="10.5" bestFit="1" customWidth="1" style="85" min="7441" max="7441"/>
    <col width="9.6640625" customWidth="1" style="85" min="7442" max="7443"/>
    <col width="9" customWidth="1" style="85" min="7444" max="7685"/>
    <col width="1.6640625" customWidth="1" style="85" min="7686" max="7686"/>
    <col width="7.6640625" customWidth="1" style="85" min="7687" max="7687"/>
    <col width="4.1640625" customWidth="1" style="85" min="7688" max="7688"/>
    <col width="9.6640625" customWidth="1" style="85" min="7689" max="7689"/>
    <col width="7.6640625" customWidth="1" style="85" min="7690" max="7690"/>
    <col width="10.5" bestFit="1" customWidth="1" style="85" min="7691" max="7691"/>
    <col width="7.6640625" customWidth="1" style="85" min="7692" max="7693"/>
    <col width="10.5" bestFit="1" customWidth="1" style="85" min="7694" max="7694"/>
    <col width="9.6640625" customWidth="1" style="85" min="7695" max="7695"/>
    <col width="8.1640625" customWidth="1" style="85" min="7696" max="7696"/>
    <col width="10.5" bestFit="1" customWidth="1" style="85" min="7697" max="7697"/>
    <col width="9.6640625" customWidth="1" style="85" min="7698" max="7699"/>
    <col width="9" customWidth="1" style="85" min="7700" max="7941"/>
    <col width="1.6640625" customWidth="1" style="85" min="7942" max="7942"/>
    <col width="7.6640625" customWidth="1" style="85" min="7943" max="7943"/>
    <col width="4.1640625" customWidth="1" style="85" min="7944" max="7944"/>
    <col width="9.6640625" customWidth="1" style="85" min="7945" max="7945"/>
    <col width="7.6640625" customWidth="1" style="85" min="7946" max="7946"/>
    <col width="10.5" bestFit="1" customWidth="1" style="85" min="7947" max="7947"/>
    <col width="7.6640625" customWidth="1" style="85" min="7948" max="7949"/>
    <col width="10.5" bestFit="1" customWidth="1" style="85" min="7950" max="7950"/>
    <col width="9.6640625" customWidth="1" style="85" min="7951" max="7951"/>
    <col width="8.1640625" customWidth="1" style="85" min="7952" max="7952"/>
    <col width="10.5" bestFit="1" customWidth="1" style="85" min="7953" max="7953"/>
    <col width="9.6640625" customWidth="1" style="85" min="7954" max="7955"/>
    <col width="9" customWidth="1" style="85" min="7956" max="8197"/>
    <col width="1.6640625" customWidth="1" style="85" min="8198" max="8198"/>
    <col width="7.6640625" customWidth="1" style="85" min="8199" max="8199"/>
    <col width="4.1640625" customWidth="1" style="85" min="8200" max="8200"/>
    <col width="9.6640625" customWidth="1" style="85" min="8201" max="8201"/>
    <col width="7.6640625" customWidth="1" style="85" min="8202" max="8202"/>
    <col width="10.5" bestFit="1" customWidth="1" style="85" min="8203" max="8203"/>
    <col width="7.6640625" customWidth="1" style="85" min="8204" max="8205"/>
    <col width="10.5" bestFit="1" customWidth="1" style="85" min="8206" max="8206"/>
    <col width="9.6640625" customWidth="1" style="85" min="8207" max="8207"/>
    <col width="8.1640625" customWidth="1" style="85" min="8208" max="8208"/>
    <col width="10.5" bestFit="1" customWidth="1" style="85" min="8209" max="8209"/>
    <col width="9.6640625" customWidth="1" style="85" min="8210" max="8211"/>
    <col width="9" customWidth="1" style="85" min="8212" max="8453"/>
    <col width="1.6640625" customWidth="1" style="85" min="8454" max="8454"/>
    <col width="7.6640625" customWidth="1" style="85" min="8455" max="8455"/>
    <col width="4.1640625" customWidth="1" style="85" min="8456" max="8456"/>
    <col width="9.6640625" customWidth="1" style="85" min="8457" max="8457"/>
    <col width="7.6640625" customWidth="1" style="85" min="8458" max="8458"/>
    <col width="10.5" bestFit="1" customWidth="1" style="85" min="8459" max="8459"/>
    <col width="7.6640625" customWidth="1" style="85" min="8460" max="8461"/>
    <col width="10.5" bestFit="1" customWidth="1" style="85" min="8462" max="8462"/>
    <col width="9.6640625" customWidth="1" style="85" min="8463" max="8463"/>
    <col width="8.1640625" customWidth="1" style="85" min="8464" max="8464"/>
    <col width="10.5" bestFit="1" customWidth="1" style="85" min="8465" max="8465"/>
    <col width="9.6640625" customWidth="1" style="85" min="8466" max="8467"/>
    <col width="9" customWidth="1" style="85" min="8468" max="8709"/>
    <col width="1.6640625" customWidth="1" style="85" min="8710" max="8710"/>
    <col width="7.6640625" customWidth="1" style="85" min="8711" max="8711"/>
    <col width="4.1640625" customWidth="1" style="85" min="8712" max="8712"/>
    <col width="9.6640625" customWidth="1" style="85" min="8713" max="8713"/>
    <col width="7.6640625" customWidth="1" style="85" min="8714" max="8714"/>
    <col width="10.5" bestFit="1" customWidth="1" style="85" min="8715" max="8715"/>
    <col width="7.6640625" customWidth="1" style="85" min="8716" max="8717"/>
    <col width="10.5" bestFit="1" customWidth="1" style="85" min="8718" max="8718"/>
    <col width="9.6640625" customWidth="1" style="85" min="8719" max="8719"/>
    <col width="8.1640625" customWidth="1" style="85" min="8720" max="8720"/>
    <col width="10.5" bestFit="1" customWidth="1" style="85" min="8721" max="8721"/>
    <col width="9.6640625" customWidth="1" style="85" min="8722" max="8723"/>
    <col width="9" customWidth="1" style="85" min="8724" max="8965"/>
    <col width="1.6640625" customWidth="1" style="85" min="8966" max="8966"/>
    <col width="7.6640625" customWidth="1" style="85" min="8967" max="8967"/>
    <col width="4.1640625" customWidth="1" style="85" min="8968" max="8968"/>
    <col width="9.6640625" customWidth="1" style="85" min="8969" max="8969"/>
    <col width="7.6640625" customWidth="1" style="85" min="8970" max="8970"/>
    <col width="10.5" bestFit="1" customWidth="1" style="85" min="8971" max="8971"/>
    <col width="7.6640625" customWidth="1" style="85" min="8972" max="8973"/>
    <col width="10.5" bestFit="1" customWidth="1" style="85" min="8974" max="8974"/>
    <col width="9.6640625" customWidth="1" style="85" min="8975" max="8975"/>
    <col width="8.1640625" customWidth="1" style="85" min="8976" max="8976"/>
    <col width="10.5" bestFit="1" customWidth="1" style="85" min="8977" max="8977"/>
    <col width="9.6640625" customWidth="1" style="85" min="8978" max="8979"/>
    <col width="9" customWidth="1" style="85" min="8980" max="9221"/>
    <col width="1.6640625" customWidth="1" style="85" min="9222" max="9222"/>
    <col width="7.6640625" customWidth="1" style="85" min="9223" max="9223"/>
    <col width="4.1640625" customWidth="1" style="85" min="9224" max="9224"/>
    <col width="9.6640625" customWidth="1" style="85" min="9225" max="9225"/>
    <col width="7.6640625" customWidth="1" style="85" min="9226" max="9226"/>
    <col width="10.5" bestFit="1" customWidth="1" style="85" min="9227" max="9227"/>
    <col width="7.6640625" customWidth="1" style="85" min="9228" max="9229"/>
    <col width="10.5" bestFit="1" customWidth="1" style="85" min="9230" max="9230"/>
    <col width="9.6640625" customWidth="1" style="85" min="9231" max="9231"/>
    <col width="8.1640625" customWidth="1" style="85" min="9232" max="9232"/>
    <col width="10.5" bestFit="1" customWidth="1" style="85" min="9233" max="9233"/>
    <col width="9.6640625" customWidth="1" style="85" min="9234" max="9235"/>
    <col width="9" customWidth="1" style="85" min="9236" max="9477"/>
    <col width="1.6640625" customWidth="1" style="85" min="9478" max="9478"/>
    <col width="7.6640625" customWidth="1" style="85" min="9479" max="9479"/>
    <col width="4.1640625" customWidth="1" style="85" min="9480" max="9480"/>
    <col width="9.6640625" customWidth="1" style="85" min="9481" max="9481"/>
    <col width="7.6640625" customWidth="1" style="85" min="9482" max="9482"/>
    <col width="10.5" bestFit="1" customWidth="1" style="85" min="9483" max="9483"/>
    <col width="7.6640625" customWidth="1" style="85" min="9484" max="9485"/>
    <col width="10.5" bestFit="1" customWidth="1" style="85" min="9486" max="9486"/>
    <col width="9.6640625" customWidth="1" style="85" min="9487" max="9487"/>
    <col width="8.1640625" customWidth="1" style="85" min="9488" max="9488"/>
    <col width="10.5" bestFit="1" customWidth="1" style="85" min="9489" max="9489"/>
    <col width="9.6640625" customWidth="1" style="85" min="9490" max="9491"/>
    <col width="9" customWidth="1" style="85" min="9492" max="9733"/>
    <col width="1.6640625" customWidth="1" style="85" min="9734" max="9734"/>
    <col width="7.6640625" customWidth="1" style="85" min="9735" max="9735"/>
    <col width="4.1640625" customWidth="1" style="85" min="9736" max="9736"/>
    <col width="9.6640625" customWidth="1" style="85" min="9737" max="9737"/>
    <col width="7.6640625" customWidth="1" style="85" min="9738" max="9738"/>
    <col width="10.5" bestFit="1" customWidth="1" style="85" min="9739" max="9739"/>
    <col width="7.6640625" customWidth="1" style="85" min="9740" max="9741"/>
    <col width="10.5" bestFit="1" customWidth="1" style="85" min="9742" max="9742"/>
    <col width="9.6640625" customWidth="1" style="85" min="9743" max="9743"/>
    <col width="8.1640625" customWidth="1" style="85" min="9744" max="9744"/>
    <col width="10.5" bestFit="1" customWidth="1" style="85" min="9745" max="9745"/>
    <col width="9.6640625" customWidth="1" style="85" min="9746" max="9747"/>
    <col width="9" customWidth="1" style="85" min="9748" max="9989"/>
    <col width="1.6640625" customWidth="1" style="85" min="9990" max="9990"/>
    <col width="7.6640625" customWidth="1" style="85" min="9991" max="9991"/>
    <col width="4.1640625" customWidth="1" style="85" min="9992" max="9992"/>
    <col width="9.6640625" customWidth="1" style="85" min="9993" max="9993"/>
    <col width="7.6640625" customWidth="1" style="85" min="9994" max="9994"/>
    <col width="10.5" bestFit="1" customWidth="1" style="85" min="9995" max="9995"/>
    <col width="7.6640625" customWidth="1" style="85" min="9996" max="9997"/>
    <col width="10.5" bestFit="1" customWidth="1" style="85" min="9998" max="9998"/>
    <col width="9.6640625" customWidth="1" style="85" min="9999" max="9999"/>
    <col width="8.1640625" customWidth="1" style="85" min="10000" max="10000"/>
    <col width="10.5" bestFit="1" customWidth="1" style="85" min="10001" max="10001"/>
    <col width="9.6640625" customWidth="1" style="85" min="10002" max="10003"/>
    <col width="9" customWidth="1" style="85" min="10004" max="10245"/>
    <col width="1.6640625" customWidth="1" style="85" min="10246" max="10246"/>
    <col width="7.6640625" customWidth="1" style="85" min="10247" max="10247"/>
    <col width="4.1640625" customWidth="1" style="85" min="10248" max="10248"/>
    <col width="9.6640625" customWidth="1" style="85" min="10249" max="10249"/>
    <col width="7.6640625" customWidth="1" style="85" min="10250" max="10250"/>
    <col width="10.5" bestFit="1" customWidth="1" style="85" min="10251" max="10251"/>
    <col width="7.6640625" customWidth="1" style="85" min="10252" max="10253"/>
    <col width="10.5" bestFit="1" customWidth="1" style="85" min="10254" max="10254"/>
    <col width="9.6640625" customWidth="1" style="85" min="10255" max="10255"/>
    <col width="8.1640625" customWidth="1" style="85" min="10256" max="10256"/>
    <col width="10.5" bestFit="1" customWidth="1" style="85" min="10257" max="10257"/>
    <col width="9.6640625" customWidth="1" style="85" min="10258" max="10259"/>
    <col width="9" customWidth="1" style="85" min="10260" max="10501"/>
    <col width="1.6640625" customWidth="1" style="85" min="10502" max="10502"/>
    <col width="7.6640625" customWidth="1" style="85" min="10503" max="10503"/>
    <col width="4.1640625" customWidth="1" style="85" min="10504" max="10504"/>
    <col width="9.6640625" customWidth="1" style="85" min="10505" max="10505"/>
    <col width="7.6640625" customWidth="1" style="85" min="10506" max="10506"/>
    <col width="10.5" bestFit="1" customWidth="1" style="85" min="10507" max="10507"/>
    <col width="7.6640625" customWidth="1" style="85" min="10508" max="10509"/>
    <col width="10.5" bestFit="1" customWidth="1" style="85" min="10510" max="10510"/>
    <col width="9.6640625" customWidth="1" style="85" min="10511" max="10511"/>
    <col width="8.1640625" customWidth="1" style="85" min="10512" max="10512"/>
    <col width="10.5" bestFit="1" customWidth="1" style="85" min="10513" max="10513"/>
    <col width="9.6640625" customWidth="1" style="85" min="10514" max="10515"/>
    <col width="9" customWidth="1" style="85" min="10516" max="10757"/>
    <col width="1.6640625" customWidth="1" style="85" min="10758" max="10758"/>
    <col width="7.6640625" customWidth="1" style="85" min="10759" max="10759"/>
    <col width="4.1640625" customWidth="1" style="85" min="10760" max="10760"/>
    <col width="9.6640625" customWidth="1" style="85" min="10761" max="10761"/>
    <col width="7.6640625" customWidth="1" style="85" min="10762" max="10762"/>
    <col width="10.5" bestFit="1" customWidth="1" style="85" min="10763" max="10763"/>
    <col width="7.6640625" customWidth="1" style="85" min="10764" max="10765"/>
    <col width="10.5" bestFit="1" customWidth="1" style="85" min="10766" max="10766"/>
    <col width="9.6640625" customWidth="1" style="85" min="10767" max="10767"/>
    <col width="8.1640625" customWidth="1" style="85" min="10768" max="10768"/>
    <col width="10.5" bestFit="1" customWidth="1" style="85" min="10769" max="10769"/>
    <col width="9.6640625" customWidth="1" style="85" min="10770" max="10771"/>
    <col width="9" customWidth="1" style="85" min="10772" max="11013"/>
    <col width="1.6640625" customWidth="1" style="85" min="11014" max="11014"/>
    <col width="7.6640625" customWidth="1" style="85" min="11015" max="11015"/>
    <col width="4.1640625" customWidth="1" style="85" min="11016" max="11016"/>
    <col width="9.6640625" customWidth="1" style="85" min="11017" max="11017"/>
    <col width="7.6640625" customWidth="1" style="85" min="11018" max="11018"/>
    <col width="10.5" bestFit="1" customWidth="1" style="85" min="11019" max="11019"/>
    <col width="7.6640625" customWidth="1" style="85" min="11020" max="11021"/>
    <col width="10.5" bestFit="1" customWidth="1" style="85" min="11022" max="11022"/>
    <col width="9.6640625" customWidth="1" style="85" min="11023" max="11023"/>
    <col width="8.1640625" customWidth="1" style="85" min="11024" max="11024"/>
    <col width="10.5" bestFit="1" customWidth="1" style="85" min="11025" max="11025"/>
    <col width="9.6640625" customWidth="1" style="85" min="11026" max="11027"/>
    <col width="9" customWidth="1" style="85" min="11028" max="11269"/>
    <col width="1.6640625" customWidth="1" style="85" min="11270" max="11270"/>
    <col width="7.6640625" customWidth="1" style="85" min="11271" max="11271"/>
    <col width="4.1640625" customWidth="1" style="85" min="11272" max="11272"/>
    <col width="9.6640625" customWidth="1" style="85" min="11273" max="11273"/>
    <col width="7.6640625" customWidth="1" style="85" min="11274" max="11274"/>
    <col width="10.5" bestFit="1" customWidth="1" style="85" min="11275" max="11275"/>
    <col width="7.6640625" customWidth="1" style="85" min="11276" max="11277"/>
    <col width="10.5" bestFit="1" customWidth="1" style="85" min="11278" max="11278"/>
    <col width="9.6640625" customWidth="1" style="85" min="11279" max="11279"/>
    <col width="8.1640625" customWidth="1" style="85" min="11280" max="11280"/>
    <col width="10.5" bestFit="1" customWidth="1" style="85" min="11281" max="11281"/>
    <col width="9.6640625" customWidth="1" style="85" min="11282" max="11283"/>
    <col width="9" customWidth="1" style="85" min="11284" max="11525"/>
    <col width="1.6640625" customWidth="1" style="85" min="11526" max="11526"/>
    <col width="7.6640625" customWidth="1" style="85" min="11527" max="11527"/>
    <col width="4.1640625" customWidth="1" style="85" min="11528" max="11528"/>
    <col width="9.6640625" customWidth="1" style="85" min="11529" max="11529"/>
    <col width="7.6640625" customWidth="1" style="85" min="11530" max="11530"/>
    <col width="10.5" bestFit="1" customWidth="1" style="85" min="11531" max="11531"/>
    <col width="7.6640625" customWidth="1" style="85" min="11532" max="11533"/>
    <col width="10.5" bestFit="1" customWidth="1" style="85" min="11534" max="11534"/>
    <col width="9.6640625" customWidth="1" style="85" min="11535" max="11535"/>
    <col width="8.1640625" customWidth="1" style="85" min="11536" max="11536"/>
    <col width="10.5" bestFit="1" customWidth="1" style="85" min="11537" max="11537"/>
    <col width="9.6640625" customWidth="1" style="85" min="11538" max="11539"/>
    <col width="9" customWidth="1" style="85" min="11540" max="11781"/>
    <col width="1.6640625" customWidth="1" style="85" min="11782" max="11782"/>
    <col width="7.6640625" customWidth="1" style="85" min="11783" max="11783"/>
    <col width="4.1640625" customWidth="1" style="85" min="11784" max="11784"/>
    <col width="9.6640625" customWidth="1" style="85" min="11785" max="11785"/>
    <col width="7.6640625" customWidth="1" style="85" min="11786" max="11786"/>
    <col width="10.5" bestFit="1" customWidth="1" style="85" min="11787" max="11787"/>
    <col width="7.6640625" customWidth="1" style="85" min="11788" max="11789"/>
    <col width="10.5" bestFit="1" customWidth="1" style="85" min="11790" max="11790"/>
    <col width="9.6640625" customWidth="1" style="85" min="11791" max="11791"/>
    <col width="8.1640625" customWidth="1" style="85" min="11792" max="11792"/>
    <col width="10.5" bestFit="1" customWidth="1" style="85" min="11793" max="11793"/>
    <col width="9.6640625" customWidth="1" style="85" min="11794" max="11795"/>
    <col width="9" customWidth="1" style="85" min="11796" max="12037"/>
    <col width="1.6640625" customWidth="1" style="85" min="12038" max="12038"/>
    <col width="7.6640625" customWidth="1" style="85" min="12039" max="12039"/>
    <col width="4.1640625" customWidth="1" style="85" min="12040" max="12040"/>
    <col width="9.6640625" customWidth="1" style="85" min="12041" max="12041"/>
    <col width="7.6640625" customWidth="1" style="85" min="12042" max="12042"/>
    <col width="10.5" bestFit="1" customWidth="1" style="85" min="12043" max="12043"/>
    <col width="7.6640625" customWidth="1" style="85" min="12044" max="12045"/>
    <col width="10.5" bestFit="1" customWidth="1" style="85" min="12046" max="12046"/>
    <col width="9.6640625" customWidth="1" style="85" min="12047" max="12047"/>
    <col width="8.1640625" customWidth="1" style="85" min="12048" max="12048"/>
    <col width="10.5" bestFit="1" customWidth="1" style="85" min="12049" max="12049"/>
    <col width="9.6640625" customWidth="1" style="85" min="12050" max="12051"/>
    <col width="9" customWidth="1" style="85" min="12052" max="12293"/>
    <col width="1.6640625" customWidth="1" style="85" min="12294" max="12294"/>
    <col width="7.6640625" customWidth="1" style="85" min="12295" max="12295"/>
    <col width="4.1640625" customWidth="1" style="85" min="12296" max="12296"/>
    <col width="9.6640625" customWidth="1" style="85" min="12297" max="12297"/>
    <col width="7.6640625" customWidth="1" style="85" min="12298" max="12298"/>
    <col width="10.5" bestFit="1" customWidth="1" style="85" min="12299" max="12299"/>
    <col width="7.6640625" customWidth="1" style="85" min="12300" max="12301"/>
    <col width="10.5" bestFit="1" customWidth="1" style="85" min="12302" max="12302"/>
    <col width="9.6640625" customWidth="1" style="85" min="12303" max="12303"/>
    <col width="8.1640625" customWidth="1" style="85" min="12304" max="12304"/>
    <col width="10.5" bestFit="1" customWidth="1" style="85" min="12305" max="12305"/>
    <col width="9.6640625" customWidth="1" style="85" min="12306" max="12307"/>
    <col width="9" customWidth="1" style="85" min="12308" max="12549"/>
    <col width="1.6640625" customWidth="1" style="85" min="12550" max="12550"/>
    <col width="7.6640625" customWidth="1" style="85" min="12551" max="12551"/>
    <col width="4.1640625" customWidth="1" style="85" min="12552" max="12552"/>
    <col width="9.6640625" customWidth="1" style="85" min="12553" max="12553"/>
    <col width="7.6640625" customWidth="1" style="85" min="12554" max="12554"/>
    <col width="10.5" bestFit="1" customWidth="1" style="85" min="12555" max="12555"/>
    <col width="7.6640625" customWidth="1" style="85" min="12556" max="12557"/>
    <col width="10.5" bestFit="1" customWidth="1" style="85" min="12558" max="12558"/>
    <col width="9.6640625" customWidth="1" style="85" min="12559" max="12559"/>
    <col width="8.1640625" customWidth="1" style="85" min="12560" max="12560"/>
    <col width="10.5" bestFit="1" customWidth="1" style="85" min="12561" max="12561"/>
    <col width="9.6640625" customWidth="1" style="85" min="12562" max="12563"/>
    <col width="9" customWidth="1" style="85" min="12564" max="12805"/>
    <col width="1.6640625" customWidth="1" style="85" min="12806" max="12806"/>
    <col width="7.6640625" customWidth="1" style="85" min="12807" max="12807"/>
    <col width="4.1640625" customWidth="1" style="85" min="12808" max="12808"/>
    <col width="9.6640625" customWidth="1" style="85" min="12809" max="12809"/>
    <col width="7.6640625" customWidth="1" style="85" min="12810" max="12810"/>
    <col width="10.5" bestFit="1" customWidth="1" style="85" min="12811" max="12811"/>
    <col width="7.6640625" customWidth="1" style="85" min="12812" max="12813"/>
    <col width="10.5" bestFit="1" customWidth="1" style="85" min="12814" max="12814"/>
    <col width="9.6640625" customWidth="1" style="85" min="12815" max="12815"/>
    <col width="8.1640625" customWidth="1" style="85" min="12816" max="12816"/>
    <col width="10.5" bestFit="1" customWidth="1" style="85" min="12817" max="12817"/>
    <col width="9.6640625" customWidth="1" style="85" min="12818" max="12819"/>
    <col width="9" customWidth="1" style="85" min="12820" max="13061"/>
    <col width="1.6640625" customWidth="1" style="85" min="13062" max="13062"/>
    <col width="7.6640625" customWidth="1" style="85" min="13063" max="13063"/>
    <col width="4.1640625" customWidth="1" style="85" min="13064" max="13064"/>
    <col width="9.6640625" customWidth="1" style="85" min="13065" max="13065"/>
    <col width="7.6640625" customWidth="1" style="85" min="13066" max="13066"/>
    <col width="10.5" bestFit="1" customWidth="1" style="85" min="13067" max="13067"/>
    <col width="7.6640625" customWidth="1" style="85" min="13068" max="13069"/>
    <col width="10.5" bestFit="1" customWidth="1" style="85" min="13070" max="13070"/>
    <col width="9.6640625" customWidth="1" style="85" min="13071" max="13071"/>
    <col width="8.1640625" customWidth="1" style="85" min="13072" max="13072"/>
    <col width="10.5" bestFit="1" customWidth="1" style="85" min="13073" max="13073"/>
    <col width="9.6640625" customWidth="1" style="85" min="13074" max="13075"/>
    <col width="9" customWidth="1" style="85" min="13076" max="13317"/>
    <col width="1.6640625" customWidth="1" style="85" min="13318" max="13318"/>
    <col width="7.6640625" customWidth="1" style="85" min="13319" max="13319"/>
    <col width="4.1640625" customWidth="1" style="85" min="13320" max="13320"/>
    <col width="9.6640625" customWidth="1" style="85" min="13321" max="13321"/>
    <col width="7.6640625" customWidth="1" style="85" min="13322" max="13322"/>
    <col width="10.5" bestFit="1" customWidth="1" style="85" min="13323" max="13323"/>
    <col width="7.6640625" customWidth="1" style="85" min="13324" max="13325"/>
    <col width="10.5" bestFit="1" customWidth="1" style="85" min="13326" max="13326"/>
    <col width="9.6640625" customWidth="1" style="85" min="13327" max="13327"/>
    <col width="8.1640625" customWidth="1" style="85" min="13328" max="13328"/>
    <col width="10.5" bestFit="1" customWidth="1" style="85" min="13329" max="13329"/>
    <col width="9.6640625" customWidth="1" style="85" min="13330" max="13331"/>
    <col width="9" customWidth="1" style="85" min="13332" max="13573"/>
    <col width="1.6640625" customWidth="1" style="85" min="13574" max="13574"/>
    <col width="7.6640625" customWidth="1" style="85" min="13575" max="13575"/>
    <col width="4.1640625" customWidth="1" style="85" min="13576" max="13576"/>
    <col width="9.6640625" customWidth="1" style="85" min="13577" max="13577"/>
    <col width="7.6640625" customWidth="1" style="85" min="13578" max="13578"/>
    <col width="10.5" bestFit="1" customWidth="1" style="85" min="13579" max="13579"/>
    <col width="7.6640625" customWidth="1" style="85" min="13580" max="13581"/>
    <col width="10.5" bestFit="1" customWidth="1" style="85" min="13582" max="13582"/>
    <col width="9.6640625" customWidth="1" style="85" min="13583" max="13583"/>
    <col width="8.1640625" customWidth="1" style="85" min="13584" max="13584"/>
    <col width="10.5" bestFit="1" customWidth="1" style="85" min="13585" max="13585"/>
    <col width="9.6640625" customWidth="1" style="85" min="13586" max="13587"/>
    <col width="9" customWidth="1" style="85" min="13588" max="13829"/>
    <col width="1.6640625" customWidth="1" style="85" min="13830" max="13830"/>
    <col width="7.6640625" customWidth="1" style="85" min="13831" max="13831"/>
    <col width="4.1640625" customWidth="1" style="85" min="13832" max="13832"/>
    <col width="9.6640625" customWidth="1" style="85" min="13833" max="13833"/>
    <col width="7.6640625" customWidth="1" style="85" min="13834" max="13834"/>
    <col width="10.5" bestFit="1" customWidth="1" style="85" min="13835" max="13835"/>
    <col width="7.6640625" customWidth="1" style="85" min="13836" max="13837"/>
    <col width="10.5" bestFit="1" customWidth="1" style="85" min="13838" max="13838"/>
    <col width="9.6640625" customWidth="1" style="85" min="13839" max="13839"/>
    <col width="8.1640625" customWidth="1" style="85" min="13840" max="13840"/>
    <col width="10.5" bestFit="1" customWidth="1" style="85" min="13841" max="13841"/>
    <col width="9.6640625" customWidth="1" style="85" min="13842" max="13843"/>
    <col width="9" customWidth="1" style="85" min="13844" max="14085"/>
    <col width="1.6640625" customWidth="1" style="85" min="14086" max="14086"/>
    <col width="7.6640625" customWidth="1" style="85" min="14087" max="14087"/>
    <col width="4.1640625" customWidth="1" style="85" min="14088" max="14088"/>
    <col width="9.6640625" customWidth="1" style="85" min="14089" max="14089"/>
    <col width="7.6640625" customWidth="1" style="85" min="14090" max="14090"/>
    <col width="10.5" bestFit="1" customWidth="1" style="85" min="14091" max="14091"/>
    <col width="7.6640625" customWidth="1" style="85" min="14092" max="14093"/>
    <col width="10.5" bestFit="1" customWidth="1" style="85" min="14094" max="14094"/>
    <col width="9.6640625" customWidth="1" style="85" min="14095" max="14095"/>
    <col width="8.1640625" customWidth="1" style="85" min="14096" max="14096"/>
    <col width="10.5" bestFit="1" customWidth="1" style="85" min="14097" max="14097"/>
    <col width="9.6640625" customWidth="1" style="85" min="14098" max="14099"/>
    <col width="9" customWidth="1" style="85" min="14100" max="14341"/>
    <col width="1.6640625" customWidth="1" style="85" min="14342" max="14342"/>
    <col width="7.6640625" customWidth="1" style="85" min="14343" max="14343"/>
    <col width="4.1640625" customWidth="1" style="85" min="14344" max="14344"/>
    <col width="9.6640625" customWidth="1" style="85" min="14345" max="14345"/>
    <col width="7.6640625" customWidth="1" style="85" min="14346" max="14346"/>
    <col width="10.5" bestFit="1" customWidth="1" style="85" min="14347" max="14347"/>
    <col width="7.6640625" customWidth="1" style="85" min="14348" max="14349"/>
    <col width="10.5" bestFit="1" customWidth="1" style="85" min="14350" max="14350"/>
    <col width="9.6640625" customWidth="1" style="85" min="14351" max="14351"/>
    <col width="8.1640625" customWidth="1" style="85" min="14352" max="14352"/>
    <col width="10.5" bestFit="1" customWidth="1" style="85" min="14353" max="14353"/>
    <col width="9.6640625" customWidth="1" style="85" min="14354" max="14355"/>
    <col width="9" customWidth="1" style="85" min="14356" max="14597"/>
    <col width="1.6640625" customWidth="1" style="85" min="14598" max="14598"/>
    <col width="7.6640625" customWidth="1" style="85" min="14599" max="14599"/>
    <col width="4.1640625" customWidth="1" style="85" min="14600" max="14600"/>
    <col width="9.6640625" customWidth="1" style="85" min="14601" max="14601"/>
    <col width="7.6640625" customWidth="1" style="85" min="14602" max="14602"/>
    <col width="10.5" bestFit="1" customWidth="1" style="85" min="14603" max="14603"/>
    <col width="7.6640625" customWidth="1" style="85" min="14604" max="14605"/>
    <col width="10.5" bestFit="1" customWidth="1" style="85" min="14606" max="14606"/>
    <col width="9.6640625" customWidth="1" style="85" min="14607" max="14607"/>
    <col width="8.1640625" customWidth="1" style="85" min="14608" max="14608"/>
    <col width="10.5" bestFit="1" customWidth="1" style="85" min="14609" max="14609"/>
    <col width="9.6640625" customWidth="1" style="85" min="14610" max="14611"/>
    <col width="9" customWidth="1" style="85" min="14612" max="14853"/>
    <col width="1.6640625" customWidth="1" style="85" min="14854" max="14854"/>
    <col width="7.6640625" customWidth="1" style="85" min="14855" max="14855"/>
    <col width="4.1640625" customWidth="1" style="85" min="14856" max="14856"/>
    <col width="9.6640625" customWidth="1" style="85" min="14857" max="14857"/>
    <col width="7.6640625" customWidth="1" style="85" min="14858" max="14858"/>
    <col width="10.5" bestFit="1" customWidth="1" style="85" min="14859" max="14859"/>
    <col width="7.6640625" customWidth="1" style="85" min="14860" max="14861"/>
    <col width="10.5" bestFit="1" customWidth="1" style="85" min="14862" max="14862"/>
    <col width="9.6640625" customWidth="1" style="85" min="14863" max="14863"/>
    <col width="8.1640625" customWidth="1" style="85" min="14864" max="14864"/>
    <col width="10.5" bestFit="1" customWidth="1" style="85" min="14865" max="14865"/>
    <col width="9.6640625" customWidth="1" style="85" min="14866" max="14867"/>
    <col width="9" customWidth="1" style="85" min="14868" max="15109"/>
    <col width="1.6640625" customWidth="1" style="85" min="15110" max="15110"/>
    <col width="7.6640625" customWidth="1" style="85" min="15111" max="15111"/>
    <col width="4.1640625" customWidth="1" style="85" min="15112" max="15112"/>
    <col width="9.6640625" customWidth="1" style="85" min="15113" max="15113"/>
    <col width="7.6640625" customWidth="1" style="85" min="15114" max="15114"/>
    <col width="10.5" bestFit="1" customWidth="1" style="85" min="15115" max="15115"/>
    <col width="7.6640625" customWidth="1" style="85" min="15116" max="15117"/>
    <col width="10.5" bestFit="1" customWidth="1" style="85" min="15118" max="15118"/>
    <col width="9.6640625" customWidth="1" style="85" min="15119" max="15119"/>
    <col width="8.1640625" customWidth="1" style="85" min="15120" max="15120"/>
    <col width="10.5" bestFit="1" customWidth="1" style="85" min="15121" max="15121"/>
    <col width="9.6640625" customWidth="1" style="85" min="15122" max="15123"/>
    <col width="9" customWidth="1" style="85" min="15124" max="15365"/>
    <col width="1.6640625" customWidth="1" style="85" min="15366" max="15366"/>
    <col width="7.6640625" customWidth="1" style="85" min="15367" max="15367"/>
    <col width="4.1640625" customWidth="1" style="85" min="15368" max="15368"/>
    <col width="9.6640625" customWidth="1" style="85" min="15369" max="15369"/>
    <col width="7.6640625" customWidth="1" style="85" min="15370" max="15370"/>
    <col width="10.5" bestFit="1" customWidth="1" style="85" min="15371" max="15371"/>
    <col width="7.6640625" customWidth="1" style="85" min="15372" max="15373"/>
    <col width="10.5" bestFit="1" customWidth="1" style="85" min="15374" max="15374"/>
    <col width="9.6640625" customWidth="1" style="85" min="15375" max="15375"/>
    <col width="8.1640625" customWidth="1" style="85" min="15376" max="15376"/>
    <col width="10.5" bestFit="1" customWidth="1" style="85" min="15377" max="15377"/>
    <col width="9.6640625" customWidth="1" style="85" min="15378" max="15379"/>
    <col width="9" customWidth="1" style="85" min="15380" max="15621"/>
    <col width="1.6640625" customWidth="1" style="85" min="15622" max="15622"/>
    <col width="7.6640625" customWidth="1" style="85" min="15623" max="15623"/>
    <col width="4.1640625" customWidth="1" style="85" min="15624" max="15624"/>
    <col width="9.6640625" customWidth="1" style="85" min="15625" max="15625"/>
    <col width="7.6640625" customWidth="1" style="85" min="15626" max="15626"/>
    <col width="10.5" bestFit="1" customWidth="1" style="85" min="15627" max="15627"/>
    <col width="7.6640625" customWidth="1" style="85" min="15628" max="15629"/>
    <col width="10.5" bestFit="1" customWidth="1" style="85" min="15630" max="15630"/>
    <col width="9.6640625" customWidth="1" style="85" min="15631" max="15631"/>
    <col width="8.1640625" customWidth="1" style="85" min="15632" max="15632"/>
    <col width="10.5" bestFit="1" customWidth="1" style="85" min="15633" max="15633"/>
    <col width="9.6640625" customWidth="1" style="85" min="15634" max="15635"/>
    <col width="9" customWidth="1" style="85" min="15636" max="15877"/>
    <col width="1.6640625" customWidth="1" style="85" min="15878" max="15878"/>
    <col width="7.6640625" customWidth="1" style="85" min="15879" max="15879"/>
    <col width="4.1640625" customWidth="1" style="85" min="15880" max="15880"/>
    <col width="9.6640625" customWidth="1" style="85" min="15881" max="15881"/>
    <col width="7.6640625" customWidth="1" style="85" min="15882" max="15882"/>
    <col width="10.5" bestFit="1" customWidth="1" style="85" min="15883" max="15883"/>
    <col width="7.6640625" customWidth="1" style="85" min="15884" max="15885"/>
    <col width="10.5" bestFit="1" customWidth="1" style="85" min="15886" max="15886"/>
    <col width="9.6640625" customWidth="1" style="85" min="15887" max="15887"/>
    <col width="8.1640625" customWidth="1" style="85" min="15888" max="15888"/>
    <col width="10.5" bestFit="1" customWidth="1" style="85" min="15889" max="15889"/>
    <col width="9.6640625" customWidth="1" style="85" min="15890" max="15891"/>
    <col width="9" customWidth="1" style="85" min="15892" max="16133"/>
    <col width="1.6640625" customWidth="1" style="85" min="16134" max="16134"/>
    <col width="7.6640625" customWidth="1" style="85" min="16135" max="16135"/>
    <col width="4.1640625" customWidth="1" style="85" min="16136" max="16136"/>
    <col width="9.6640625" customWidth="1" style="85" min="16137" max="16137"/>
    <col width="7.6640625" customWidth="1" style="85" min="16138" max="16138"/>
    <col width="10.5" bestFit="1" customWidth="1" style="85" min="16139" max="16139"/>
    <col width="7.6640625" customWidth="1" style="85" min="16140" max="16141"/>
    <col width="10.5" bestFit="1" customWidth="1" style="85" min="16142" max="16142"/>
    <col width="9.6640625" customWidth="1" style="85" min="16143" max="16143"/>
    <col width="8.1640625" customWidth="1" style="85" min="16144" max="16144"/>
    <col width="10.5" bestFit="1" customWidth="1" style="85" min="16145" max="16145"/>
    <col width="9.6640625" customWidth="1" style="85" min="16146" max="16147"/>
    <col width="9" customWidth="1" style="85" min="16148" max="16384"/>
  </cols>
  <sheetData>
    <row r="1">
      <c r="A1" s="48">
        <f>MID(B3,SEARCH("(",B3)+1,LEN(B3)-SEARCH("(",B3)-1)</f>
        <v/>
      </c>
    </row>
    <row r="2" ht="6" customHeight="1" s="197"/>
    <row r="3" ht="40.5" customHeight="1" s="197">
      <c r="B3" s="104" t="inlineStr">
        <is>
          <t>전보 내신자 조사서(초등 교사)</t>
        </is>
      </c>
      <c r="C3" s="198" t="n"/>
      <c r="D3" s="198" t="n"/>
      <c r="E3" s="198" t="n"/>
      <c r="F3" s="198" t="n"/>
      <c r="G3" s="198" t="n"/>
      <c r="H3" s="198" t="n"/>
      <c r="I3" s="198" t="n"/>
      <c r="J3" s="198" t="n"/>
      <c r="K3" s="198" t="n"/>
      <c r="L3" s="198" t="n"/>
      <c r="M3" s="198" t="n"/>
      <c r="N3" s="198" t="n"/>
      <c r="O3" s="198" t="n"/>
      <c r="P3" s="198" t="n"/>
      <c r="Q3" s="198" t="n"/>
    </row>
    <row r="4" ht="26.25" customHeight="1" s="197" thickBot="1">
      <c r="B4" s="2" t="n"/>
      <c r="C4" s="3" t="n"/>
      <c r="D4" s="3" t="n"/>
      <c r="E4" s="3" t="n"/>
      <c r="F4" s="3" t="n"/>
      <c r="G4" s="3" t="n"/>
      <c r="H4" s="3" t="n"/>
      <c r="I4" s="3" t="n"/>
      <c r="J4" s="105">
        <f>IF(D7="이천","원동초등학교장",IF(D7="양산교육지원청","양산교육지원청교육장",D7&amp;"초등학교장"))</f>
        <v/>
      </c>
      <c r="K4" s="199" t="n"/>
      <c r="L4" s="199" t="n"/>
      <c r="M4" s="199" t="n"/>
      <c r="N4" s="199" t="n"/>
      <c r="O4" s="199" t="n"/>
      <c r="P4" s="199" t="n"/>
      <c r="Q4" s="199" t="n"/>
      <c r="R4" s="85" t="n"/>
    </row>
    <row r="5" ht="26.25" customHeight="1" s="197">
      <c r="B5" s="86" t="inlineStr">
        <is>
          <t>전보구분</t>
        </is>
      </c>
      <c r="C5" s="200" t="n"/>
      <c r="D5" s="88" t="n"/>
      <c r="E5" s="201" t="n"/>
      <c r="F5" s="172" t="inlineStr">
        <is>
          <t>1희망</t>
        </is>
      </c>
      <c r="G5" s="200" t="n"/>
      <c r="H5" s="88" t="n"/>
      <c r="I5" s="202" t="n"/>
      <c r="J5" s="201" t="n"/>
      <c r="K5" s="172" t="inlineStr">
        <is>
          <t>2희망</t>
        </is>
      </c>
      <c r="L5" s="200" t="n"/>
      <c r="M5" s="88" t="n"/>
      <c r="N5" s="201" t="n"/>
      <c r="O5" s="172" t="inlineStr">
        <is>
          <t>3희망</t>
        </is>
      </c>
      <c r="P5" s="88" t="n"/>
      <c r="Q5" s="201" t="n"/>
      <c r="T5" s="85">
        <f>IF(ISNUMBER(LEFT(S5,2)), 1, 0)</f>
        <v/>
      </c>
    </row>
    <row r="6" ht="32" customHeight="1" s="197">
      <c r="B6" s="97" t="inlineStr">
        <is>
          <t>통합 1희망</t>
        </is>
      </c>
      <c r="C6" s="203" t="n"/>
      <c r="D6" s="101" t="n"/>
      <c r="E6" s="204" t="n"/>
      <c r="F6" s="103" t="inlineStr">
        <is>
          <t>통합 2희망</t>
        </is>
      </c>
      <c r="G6" s="203" t="n"/>
      <c r="H6" s="101" t="n"/>
      <c r="I6" s="205" t="n"/>
      <c r="J6" s="204" t="n"/>
      <c r="K6" s="103" t="inlineStr">
        <is>
          <t>통합 3희망</t>
        </is>
      </c>
      <c r="L6" s="203" t="n"/>
      <c r="M6" s="101" t="n"/>
      <c r="N6" s="204" t="n"/>
      <c r="O6" s="41" t="inlineStr">
        <is>
          <t>실습교
보정 총점</t>
        </is>
      </c>
      <c r="P6" s="206">
        <f>IF(AND(H5=AB99,D5=AA100),Q12+P18,"")</f>
        <v/>
      </c>
      <c r="Q6" s="207" t="n"/>
    </row>
    <row r="7" ht="26.25" customHeight="1" s="197">
      <c r="B7" s="97" t="inlineStr">
        <is>
          <t>현임교</t>
        </is>
      </c>
      <c r="C7" s="203" t="n"/>
      <c r="D7" s="124" t="n"/>
      <c r="E7" s="205" t="n"/>
      <c r="F7" s="98" t="inlineStr">
        <is>
          <t>성명</t>
        </is>
      </c>
      <c r="G7" s="203" t="n"/>
      <c r="H7" s="126" t="n"/>
      <c r="I7" s="205" t="n"/>
      <c r="J7" s="204" t="n"/>
      <c r="K7" s="103" t="inlineStr">
        <is>
          <t>성별</t>
        </is>
      </c>
      <c r="L7" s="203" t="n"/>
      <c r="M7" s="101" t="n"/>
      <c r="N7" s="204" t="n"/>
      <c r="O7" s="103" t="inlineStr">
        <is>
          <t>생활근거지</t>
        </is>
      </c>
      <c r="P7" s="208" t="n"/>
      <c r="Q7" s="209" t="n"/>
    </row>
    <row r="8" ht="26.25" customHeight="1" s="197">
      <c r="B8" s="102" t="inlineStr">
        <is>
          <t>소지자격</t>
        </is>
      </c>
      <c r="C8" s="203" t="n"/>
      <c r="D8" s="101" t="n"/>
      <c r="E8" s="204" t="n"/>
      <c r="F8" s="103" t="inlineStr">
        <is>
          <t>타시군내신</t>
        </is>
      </c>
      <c r="G8" s="203" t="n"/>
      <c r="H8" s="60" t="n"/>
      <c r="I8" s="205" t="n"/>
      <c r="J8" s="204" t="n"/>
      <c r="K8" s="103" t="inlineStr">
        <is>
          <t>타시도내신</t>
        </is>
      </c>
      <c r="L8" s="203" t="n"/>
      <c r="M8" s="60" t="n"/>
      <c r="N8" s="204" t="n"/>
      <c r="O8" s="39" t="inlineStr">
        <is>
          <t>승진후보자</t>
        </is>
      </c>
      <c r="P8" s="208" t="n"/>
      <c r="Q8" s="209" t="n"/>
      <c r="U8" s="4" t="n"/>
    </row>
    <row r="9" ht="26.25" customHeight="1" s="197">
      <c r="B9" s="97" t="inlineStr">
        <is>
          <t>총점</t>
        </is>
      </c>
      <c r="C9" s="210" t="n"/>
      <c r="D9" s="211">
        <f>IF(ISERR(Q12+P18),"",IF(H5=AB99, Q12+P18+P33,Q12+P18))</f>
        <v/>
      </c>
      <c r="E9" s="98" t="inlineStr">
        <is>
          <t>동점자서열</t>
        </is>
      </c>
      <c r="F9" s="212" t="n"/>
      <c r="G9" s="210" t="n"/>
      <c r="H9" s="103" t="inlineStr">
        <is>
          <t>현임교근무연수</t>
        </is>
      </c>
      <c r="I9" s="213" t="n"/>
      <c r="J9" s="203" t="n"/>
      <c r="K9" s="98" t="inlineStr">
        <is>
          <t>학교경력점</t>
        </is>
      </c>
      <c r="L9" s="213" t="n"/>
      <c r="M9" s="203" t="n"/>
      <c r="N9" s="103" t="inlineStr">
        <is>
          <t>생년월일</t>
        </is>
      </c>
      <c r="O9" s="203" t="n"/>
      <c r="P9" s="100" t="inlineStr">
        <is>
          <t>비고</t>
        </is>
      </c>
      <c r="Q9" s="203" t="n"/>
    </row>
    <row r="10" ht="26.25" customHeight="1" s="197" thickBot="1">
      <c r="B10" s="214" t="n"/>
      <c r="C10" s="215" t="n"/>
      <c r="D10" s="216" t="n"/>
      <c r="E10" s="217" t="n"/>
      <c r="F10" s="218" t="n"/>
      <c r="G10" s="215" t="n"/>
      <c r="H10" s="219" t="n"/>
      <c r="I10" s="220" t="n"/>
      <c r="J10" s="221" t="n"/>
      <c r="K10" s="222">
        <f>IF(ISERR(Q12),"",Q12)</f>
        <v/>
      </c>
      <c r="L10" s="223" t="n"/>
      <c r="M10" s="224" t="n"/>
      <c r="N10" s="121" t="n"/>
      <c r="O10" s="221" t="n"/>
      <c r="P10" s="122" t="n"/>
      <c r="Q10" s="221" t="n"/>
      <c r="R10" s="5" t="n"/>
    </row>
    <row r="11" ht="26.25" customHeight="1" s="197">
      <c r="B11" s="183" t="inlineStr">
        <is>
          <t>경력사항</t>
        </is>
      </c>
      <c r="C11" s="172" t="inlineStr">
        <is>
          <t>구         분</t>
        </is>
      </c>
      <c r="D11" s="200" t="n"/>
      <c r="E11" s="172" t="inlineStr">
        <is>
          <t>학교명</t>
        </is>
      </c>
      <c r="F11" s="225" t="n"/>
      <c r="G11" s="200" t="n"/>
      <c r="H11" s="172" t="inlineStr">
        <is>
          <t>근무기간</t>
        </is>
      </c>
      <c r="I11" s="225" t="n"/>
      <c r="J11" s="225" t="n"/>
      <c r="K11" s="225" t="n"/>
      <c r="L11" s="200" t="n"/>
      <c r="M11" s="87" t="inlineStr">
        <is>
          <t>급지(점수)</t>
        </is>
      </c>
      <c r="N11" s="200" t="n"/>
      <c r="O11" s="43" t="inlineStr">
        <is>
          <t>근무연수</t>
        </is>
      </c>
      <c r="P11" s="43" t="inlineStr">
        <is>
          <t>점수</t>
        </is>
      </c>
      <c r="Q11" s="44" t="inlineStr">
        <is>
          <t>소계</t>
        </is>
      </c>
    </row>
    <row r="12" ht="26.25" customHeight="1" s="197">
      <c r="B12" s="226" t="n"/>
      <c r="C12" s="227" t="inlineStr">
        <is>
          <t>기본(4년)</t>
        </is>
      </c>
      <c r="D12" s="210" t="n"/>
      <c r="E12" s="60" t="n"/>
      <c r="F12" s="205" t="n"/>
      <c r="G12" s="204" t="n"/>
      <c r="H12" s="60" t="n"/>
      <c r="I12" s="205" t="n"/>
      <c r="J12" s="205" t="n"/>
      <c r="K12" s="205" t="n"/>
      <c r="L12" s="204" t="n"/>
      <c r="M12" s="74" t="n"/>
      <c r="N12" s="204" t="n"/>
      <c r="O12" s="228" t="n"/>
      <c r="P12" s="229" t="n"/>
      <c r="Q12" s="230">
        <f>IF(ISERR(SUM(P12:P16)),"",SUM(P12:P16))</f>
        <v/>
      </c>
      <c r="S12" s="85">
        <f>VALUE(MID(M12,3,LEN(M12)-3))</f>
        <v/>
      </c>
      <c r="T12" s="231">
        <f> INT(O12)</f>
        <v/>
      </c>
      <c r="U12" s="231">
        <f>ROUND(O12-INT(O12),2)</f>
        <v/>
      </c>
      <c r="V12" s="85">
        <f>(S12=6)*((U12=0.01)*0.5+(U12=0.02)*1+(U12=0.03)*1.5+(U12=0.04)*2+(U12=0.05)*2.5+(U12=0.06)*3+(U12=0.07)*3.5+(U12=0.08)*4+(U12=0.09)*4.5+(U12=0.1)*5+(U12=0.11)*5.5)</f>
        <v/>
      </c>
      <c r="W12" s="85">
        <f>(S12=7)*((U12=0.01)*0.58+(U12=0.02)*1.17+(U12=0.03)*1.75+(U12=0.04)*2.33+(U12=0.05)*2.92+(U12=0.06)*3.5+(U12=0.07)*4.08+(U12=0.08)*4.67+(U12=0.09)*5.25+(U12=0.1)*5.83+(U12=0.11)*6.42)</f>
        <v/>
      </c>
      <c r="X12" s="85">
        <f>(S12=8)*((U12=0.01)*0.67+(U12=0.02)*1.33+(U12=0.03)*2+(U12=0.04)*2.67+(U12=0.05)*3.33+(U12=0.06)*4+(U12=0.07)*4.67+(U12=0.08)*5.33+(U12=0.09)*6+(U12=0.1)*6.67+(U12=0.11)*7.33)</f>
        <v/>
      </c>
      <c r="Y12" s="85">
        <f>S12/12*U12*100</f>
        <v/>
      </c>
    </row>
    <row r="13" ht="26.25" customHeight="1" s="197">
      <c r="B13" s="226" t="n"/>
      <c r="C13" s="232" t="n"/>
      <c r="D13" s="233" t="n"/>
      <c r="E13" s="60" t="n"/>
      <c r="F13" s="205" t="n"/>
      <c r="G13" s="204" t="n"/>
      <c r="H13" s="60" t="n"/>
      <c r="I13" s="205" t="n"/>
      <c r="J13" s="205" t="n"/>
      <c r="K13" s="205" t="n"/>
      <c r="L13" s="204" t="n"/>
      <c r="M13" s="74" t="n"/>
      <c r="N13" s="204" t="n"/>
      <c r="O13" s="228" t="n"/>
      <c r="P13" s="229" t="n"/>
      <c r="Q13" s="234" t="n"/>
      <c r="S13" s="85">
        <f>VALUE(MID(M13,3,LEN(M13)-3))</f>
        <v/>
      </c>
      <c r="T13" s="231">
        <f> INT(O13)</f>
        <v/>
      </c>
      <c r="U13" s="231">
        <f>ROUND(O13-INT(O13),2)</f>
        <v/>
      </c>
      <c r="V13" s="85">
        <f>(S13=6)*((U13=0.01)*0.5+(U13=0.02)*1+(U13=0.03)*1.5+(U13=0.04)*2+(U13=0.05)*2.5+(U13=0.06)*3+(U13=0.07)*3.5+(U13=0.08)*4+(U13=0.09)*4.5+(U13=0.1)*5+(U13=0.11)*5.5)</f>
        <v/>
      </c>
      <c r="W13" s="85">
        <f>(S13=7)*((U13=0.01)*0.58+(U13=0.02)*1.17+(U13=0.03)*1.75+(U13=0.04)*2.33+(U13=0.05)*2.92+(U13=0.06)*3.5+(U13=0.07)*4.08+(U13=0.08)*4.67+(U13=0.09)*5.25+(U13=0.1)*5.83+(U13=0.11)*6.42)</f>
        <v/>
      </c>
      <c r="X13" s="85">
        <f>(S13=8)*((U13=0.01)*0.67+(U13=0.02)*1.33+(U13=0.03)*2+(U13=0.04)*2.67+(U13=0.05)*3.33+(U13=0.06)*4+(U13=0.07)*4.67+(U13=0.08)*5.33+(U13=0.09)*6+(U13=0.1)*6.67+(U13=0.11)*7.33)</f>
        <v/>
      </c>
      <c r="Y13" s="85">
        <f>S13/12*U13*100</f>
        <v/>
      </c>
    </row>
    <row r="14" ht="26.25" customHeight="1" s="197">
      <c r="B14" s="226" t="n"/>
      <c r="C14" s="232" t="n"/>
      <c r="D14" s="233" t="n"/>
      <c r="E14" s="60" t="n"/>
      <c r="F14" s="205" t="n"/>
      <c r="G14" s="204" t="n"/>
      <c r="H14" s="60" t="n"/>
      <c r="I14" s="205" t="n"/>
      <c r="J14" s="205" t="n"/>
      <c r="K14" s="205" t="n"/>
      <c r="L14" s="204" t="n"/>
      <c r="M14" s="74" t="n"/>
      <c r="N14" s="204" t="n"/>
      <c r="O14" s="228" t="n"/>
      <c r="P14" s="229" t="n"/>
      <c r="Q14" s="234" t="n"/>
      <c r="S14" s="85">
        <f>VALUE(MID(M14,3,LEN(M14)-3))</f>
        <v/>
      </c>
      <c r="T14" s="231">
        <f> INT(O14)</f>
        <v/>
      </c>
      <c r="U14" s="231">
        <f>ROUND(O14-INT(O14),2)</f>
        <v/>
      </c>
      <c r="V14" s="85">
        <f>(S14=6)*((U14=0.01)*0.5+(U14=0.02)*1+(U14=0.03)*1.5+(U14=0.04)*2+(U14=0.05)*2.5+(U14=0.06)*3+(U14=0.07)*3.5+(U14=0.08)*4+(U14=0.09)*4.5+(U14=0.1)*5+(U14=0.11)*5.5)</f>
        <v/>
      </c>
      <c r="W14" s="85">
        <f>(S14=7)*((U14=0.01)*0.58+(U14=0.02)*1.17+(U14=0.03)*1.75+(U14=0.04)*2.33+(U14=0.05)*2.92+(U14=0.06)*3.5+(U14=0.07)*4.08+(U14=0.08)*4.67+(U14=0.09)*5.25+(U14=0.1)*5.83+(U14=0.11)*6.42)</f>
        <v/>
      </c>
      <c r="X14" s="85">
        <f>(S14=8)*((U14=0.01)*0.67+(U14=0.02)*1.33+(U14=0.03)*2+(U14=0.04)*2.67+(U14=0.05)*3.33+(U14=0.06)*4+(U14=0.07)*4.67+(U14=0.08)*5.33+(U14=0.09)*6+(U14=0.1)*6.67+(U14=0.11)*7.33)</f>
        <v/>
      </c>
      <c r="Y14" s="85">
        <f>S14/12*U14*100</f>
        <v/>
      </c>
    </row>
    <row r="15" ht="26.25" customHeight="1" s="197">
      <c r="B15" s="226" t="n"/>
      <c r="C15" s="232" t="n"/>
      <c r="D15" s="233" t="n"/>
      <c r="E15" s="60" t="n"/>
      <c r="F15" s="205" t="n"/>
      <c r="G15" s="204" t="n"/>
      <c r="H15" s="60" t="n"/>
      <c r="I15" s="205" t="n"/>
      <c r="J15" s="205" t="n"/>
      <c r="K15" s="205" t="n"/>
      <c r="L15" s="204" t="n"/>
      <c r="M15" s="74" t="n"/>
      <c r="N15" s="204" t="n"/>
      <c r="O15" s="228" t="n"/>
      <c r="P15" s="229" t="n"/>
      <c r="Q15" s="234" t="n"/>
      <c r="S15" s="85">
        <f>VALUE(MID(M15,3,LEN(M15)-3))</f>
        <v/>
      </c>
      <c r="T15" s="231">
        <f> INT(O15)</f>
        <v/>
      </c>
      <c r="U15" s="231">
        <f>ROUND(O15-INT(O15),2)</f>
        <v/>
      </c>
      <c r="V15" s="85">
        <f>(S15=6)*((U15=0.01)*0.5+(U15=0.02)*1+(U15=0.03)*1.5+(U15=0.04)*2+(U15=0.05)*2.5+(U15=0.06)*3+(U15=0.07)*3.5+(U15=0.08)*4+(U15=0.09)*4.5+(U15=0.1)*5+(U15=0.11)*5.5)</f>
        <v/>
      </c>
      <c r="W15" s="85">
        <f>(S15=7)*((U15=0.01)*0.58+(U15=0.02)*1.17+(U15=0.03)*1.75+(U15=0.04)*2.33+(U15=0.05)*2.92+(U15=0.06)*3.5+(U15=0.07)*4.08+(U15=0.08)*4.67+(U15=0.09)*5.25+(U15=0.1)*5.83+(U15=0.11)*6.42)</f>
        <v/>
      </c>
      <c r="X15" s="85">
        <f>(S15=8)*((U15=0.01)*0.67+(U15=0.02)*1.33+(U15=0.03)*2+(U15=0.04)*2.67+(U15=0.05)*3.33+(U15=0.06)*4+(U15=0.07)*4.67+(U15=0.08)*5.33+(U15=0.09)*6+(U15=0.1)*6.67+(U15=0.11)*7.33)</f>
        <v/>
      </c>
      <c r="Y15" s="85">
        <f>S15/12*U15*100</f>
        <v/>
      </c>
    </row>
    <row r="16" ht="26.25" customHeight="1" s="197" thickBot="1">
      <c r="B16" s="235" t="n"/>
      <c r="C16" s="236" t="n"/>
      <c r="D16" s="237" t="n"/>
      <c r="E16" s="60" t="n"/>
      <c r="F16" s="205" t="n"/>
      <c r="G16" s="204" t="n"/>
      <c r="H16" s="60" t="n"/>
      <c r="I16" s="205" t="n"/>
      <c r="J16" s="205" t="n"/>
      <c r="K16" s="205" t="n"/>
      <c r="L16" s="204" t="n"/>
      <c r="M16" s="74" t="n"/>
      <c r="N16" s="204" t="n"/>
      <c r="O16" s="228" t="n"/>
      <c r="P16" s="229" t="n"/>
      <c r="Q16" s="234" t="n"/>
      <c r="S16" s="85">
        <f>VALUE(MID(M16,3,LEN(M16)-3))</f>
        <v/>
      </c>
      <c r="T16" s="231">
        <f> INT(O16)</f>
        <v/>
      </c>
      <c r="U16" s="231">
        <f>ROUND(O16-INT(O16),2)</f>
        <v/>
      </c>
      <c r="V16" s="85">
        <f>(S16=6)*((U16=0.01)*0.5+(U16=0.02)*1+(U16=0.03)*1.5+(U16=0.04)*2+(U16=0.05)*2.5+(U16=0.06)*3+(U16=0.07)*3.5+(U16=0.08)*4+(U16=0.09)*4.5+(U16=0.1)*5+(U16=0.11)*5.5)</f>
        <v/>
      </c>
      <c r="W16" s="85">
        <f>(S16=7)*((U16=0.01)*0.58+(U16=0.02)*1.17+(U16=0.03)*1.75+(U16=0.04)*2.33+(U16=0.05)*2.92+(U16=0.06)*3.5+(U16=0.07)*4.08+(U16=0.08)*4.67+(U16=0.09)*5.25+(U16=0.1)*5.83+(U16=0.11)*6.42)</f>
        <v/>
      </c>
      <c r="X16" s="85">
        <f>(S16=8)*((U16=0.01)*0.67+(U16=0.02)*1.33+(U16=0.03)*2+(U16=0.04)*2.67+(U16=0.05)*3.33+(U16=0.06)*4+(U16=0.07)*4.67+(U16=0.08)*5.33+(U16=0.09)*6+(U16=0.1)*6.67+(U16=0.11)*7.33)</f>
        <v/>
      </c>
      <c r="Y16" s="85">
        <f>S16/12*U16*100</f>
        <v/>
      </c>
    </row>
    <row r="17" ht="26.25" customHeight="1" s="197">
      <c r="B17" s="238" t="inlineStr">
        <is>
          <t>가
산
점</t>
        </is>
      </c>
      <c r="C17" s="239" t="inlineStr">
        <is>
          <t>종별</t>
        </is>
      </c>
      <c r="D17" s="240" t="n"/>
      <c r="E17" s="172" t="inlineStr">
        <is>
          <t>내   용</t>
        </is>
      </c>
      <c r="F17" s="225" t="n"/>
      <c r="G17" s="225" t="n"/>
      <c r="H17" s="225" t="n"/>
      <c r="I17" s="225" t="n"/>
      <c r="J17" s="200" t="n"/>
      <c r="K17" s="172" t="inlineStr">
        <is>
          <t>기간. 연월일</t>
        </is>
      </c>
      <c r="L17" s="225" t="n"/>
      <c r="M17" s="225" t="n"/>
      <c r="N17" s="200" t="n"/>
      <c r="O17" s="172" t="inlineStr">
        <is>
          <t>점수</t>
        </is>
      </c>
      <c r="P17" s="172" t="inlineStr">
        <is>
          <t>소계</t>
        </is>
      </c>
      <c r="Q17" s="200" t="n"/>
    </row>
    <row r="18" ht="26.25" customHeight="1" s="197">
      <c r="B18" s="226" t="n"/>
      <c r="C18" s="241" t="n"/>
      <c r="D18" s="242" t="n"/>
      <c r="E18" s="243" t="n"/>
      <c r="F18" s="205" t="n"/>
      <c r="G18" s="205" t="n"/>
      <c r="H18" s="205" t="n"/>
      <c r="I18" s="205" t="n"/>
      <c r="J18" s="204" t="n"/>
      <c r="K18" s="60" t="n"/>
      <c r="L18" s="205" t="n"/>
      <c r="M18" s="205" t="n"/>
      <c r="N18" s="204" t="n"/>
      <c r="O18" s="244" t="n"/>
      <c r="P18" s="245">
        <f>IF(ISERR(SUM(O18:O32)),"",SUM(O18:O32))</f>
        <v/>
      </c>
      <c r="Q18" s="246" t="n"/>
    </row>
    <row r="19" ht="26.25" customHeight="1" s="197">
      <c r="B19" s="226" t="n"/>
      <c r="C19" s="241" t="n"/>
      <c r="D19" s="242" t="n"/>
      <c r="E19" s="247" t="n"/>
      <c r="F19" s="205" t="n"/>
      <c r="G19" s="205" t="n"/>
      <c r="H19" s="205" t="n"/>
      <c r="I19" s="205" t="n"/>
      <c r="J19" s="204" t="n"/>
      <c r="K19" s="60" t="n"/>
      <c r="L19" s="205" t="n"/>
      <c r="M19" s="205" t="n"/>
      <c r="N19" s="204" t="n"/>
      <c r="O19" s="244" t="n"/>
      <c r="P19" s="232" t="n"/>
      <c r="Q19" s="248" t="n"/>
    </row>
    <row r="20" ht="26.25" customHeight="1" s="197">
      <c r="B20" s="226" t="n"/>
      <c r="C20" s="241" t="n"/>
      <c r="D20" s="242" t="n"/>
      <c r="E20" s="247" t="n"/>
      <c r="F20" s="205" t="n"/>
      <c r="G20" s="205" t="n"/>
      <c r="H20" s="205" t="n"/>
      <c r="I20" s="205" t="n"/>
      <c r="J20" s="204" t="n"/>
      <c r="K20" s="74" t="n"/>
      <c r="L20" s="205" t="n"/>
      <c r="M20" s="205" t="n"/>
      <c r="N20" s="204" t="n"/>
      <c r="O20" s="244" t="n"/>
      <c r="P20" s="232" t="n"/>
      <c r="Q20" s="248" t="n"/>
    </row>
    <row r="21" ht="26.25" customHeight="1" s="197">
      <c r="B21" s="226" t="n"/>
      <c r="C21" s="241" t="n"/>
      <c r="D21" s="242" t="n"/>
      <c r="E21" s="247" t="n"/>
      <c r="F21" s="205" t="n"/>
      <c r="G21" s="205" t="n"/>
      <c r="H21" s="205" t="n"/>
      <c r="I21" s="205" t="n"/>
      <c r="J21" s="204" t="n"/>
      <c r="K21" s="60" t="n"/>
      <c r="L21" s="205" t="n"/>
      <c r="M21" s="205" t="n"/>
      <c r="N21" s="204" t="n"/>
      <c r="O21" s="244" t="n"/>
      <c r="P21" s="232" t="n"/>
      <c r="Q21" s="248" t="n"/>
    </row>
    <row r="22" ht="26.25" customHeight="1" s="197">
      <c r="B22" s="226" t="n"/>
      <c r="C22" s="241" t="n"/>
      <c r="D22" s="242" t="n"/>
      <c r="E22" s="247" t="n"/>
      <c r="F22" s="205" t="n"/>
      <c r="G22" s="205" t="n"/>
      <c r="H22" s="205" t="n"/>
      <c r="I22" s="205" t="n"/>
      <c r="J22" s="204" t="n"/>
      <c r="K22" s="60" t="n"/>
      <c r="L22" s="205" t="n"/>
      <c r="M22" s="205" t="n"/>
      <c r="N22" s="204" t="n"/>
      <c r="O22" s="244" t="n"/>
      <c r="P22" s="232" t="n"/>
      <c r="Q22" s="248" t="n"/>
    </row>
    <row r="23" ht="26.25" customHeight="1" s="197">
      <c r="B23" s="226" t="n"/>
      <c r="C23" s="241" t="n"/>
      <c r="D23" s="242" t="n"/>
      <c r="E23" s="247" t="n"/>
      <c r="F23" s="205" t="n"/>
      <c r="G23" s="205" t="n"/>
      <c r="H23" s="205" t="n"/>
      <c r="I23" s="205" t="n"/>
      <c r="J23" s="204" t="n"/>
      <c r="K23" s="60" t="n"/>
      <c r="L23" s="205" t="n"/>
      <c r="M23" s="205" t="n"/>
      <c r="N23" s="204" t="n"/>
      <c r="O23" s="244" t="n"/>
      <c r="P23" s="232" t="n"/>
      <c r="Q23" s="248" t="n"/>
    </row>
    <row r="24" ht="26.25" customHeight="1" s="197">
      <c r="B24" s="226" t="n"/>
      <c r="C24" s="241" t="n"/>
      <c r="D24" s="242" t="n"/>
      <c r="E24" s="247" t="n"/>
      <c r="F24" s="205" t="n"/>
      <c r="G24" s="205" t="n"/>
      <c r="H24" s="205" t="n"/>
      <c r="I24" s="205" t="n"/>
      <c r="J24" s="204" t="n"/>
      <c r="K24" s="60" t="n"/>
      <c r="L24" s="205" t="n"/>
      <c r="M24" s="205" t="n"/>
      <c r="N24" s="204" t="n"/>
      <c r="O24" s="244" t="n"/>
      <c r="P24" s="232" t="n"/>
      <c r="Q24" s="248" t="n"/>
    </row>
    <row r="25" ht="26.25" customHeight="1" s="197">
      <c r="B25" s="226" t="n"/>
      <c r="C25" s="241" t="n"/>
      <c r="D25" s="242" t="n"/>
      <c r="E25" s="247" t="n"/>
      <c r="F25" s="205" t="n"/>
      <c r="G25" s="205" t="n"/>
      <c r="H25" s="205" t="n"/>
      <c r="I25" s="205" t="n"/>
      <c r="J25" s="204" t="n"/>
      <c r="K25" s="60" t="n"/>
      <c r="L25" s="205" t="n"/>
      <c r="M25" s="205" t="n"/>
      <c r="N25" s="204" t="n"/>
      <c r="O25" s="244" t="n"/>
      <c r="P25" s="232" t="n"/>
      <c r="Q25" s="248" t="n"/>
    </row>
    <row r="26" ht="26.25" customHeight="1" s="197">
      <c r="B26" s="226" t="n"/>
      <c r="C26" s="241" t="n"/>
      <c r="D26" s="242" t="n"/>
      <c r="E26" s="247" t="n"/>
      <c r="F26" s="205" t="n"/>
      <c r="G26" s="205" t="n"/>
      <c r="H26" s="205" t="n"/>
      <c r="I26" s="205" t="n"/>
      <c r="J26" s="204" t="n"/>
      <c r="K26" s="60" t="n"/>
      <c r="L26" s="205" t="n"/>
      <c r="M26" s="205" t="n"/>
      <c r="N26" s="204" t="n"/>
      <c r="O26" s="244" t="n"/>
      <c r="P26" s="232" t="n"/>
      <c r="Q26" s="248" t="n"/>
    </row>
    <row r="27" ht="26.25" customHeight="1" s="197">
      <c r="B27" s="226" t="n"/>
      <c r="C27" s="241" t="n"/>
      <c r="D27" s="242" t="n"/>
      <c r="E27" s="247" t="n"/>
      <c r="F27" s="205" t="n"/>
      <c r="G27" s="205" t="n"/>
      <c r="H27" s="205" t="n"/>
      <c r="I27" s="205" t="n"/>
      <c r="J27" s="204" t="n"/>
      <c r="K27" s="60" t="n"/>
      <c r="L27" s="205" t="n"/>
      <c r="M27" s="205" t="n"/>
      <c r="N27" s="204" t="n"/>
      <c r="O27" s="244" t="n"/>
      <c r="P27" s="232" t="n"/>
      <c r="Q27" s="248" t="n"/>
    </row>
    <row r="28" ht="26.25" customHeight="1" s="197">
      <c r="B28" s="226" t="n"/>
      <c r="C28" s="241" t="n"/>
      <c r="D28" s="242" t="n"/>
      <c r="E28" s="247" t="n"/>
      <c r="F28" s="205" t="n"/>
      <c r="G28" s="205" t="n"/>
      <c r="H28" s="205" t="n"/>
      <c r="I28" s="205" t="n"/>
      <c r="J28" s="204" t="n"/>
      <c r="K28" s="60" t="n"/>
      <c r="L28" s="205" t="n"/>
      <c r="M28" s="205" t="n"/>
      <c r="N28" s="204" t="n"/>
      <c r="O28" s="244" t="n"/>
      <c r="P28" s="232" t="n"/>
      <c r="Q28" s="248" t="n"/>
    </row>
    <row r="29" ht="26.25" customHeight="1" s="197">
      <c r="B29" s="226" t="n"/>
      <c r="C29" s="241" t="n"/>
      <c r="D29" s="242" t="n"/>
      <c r="E29" s="247" t="n"/>
      <c r="F29" s="205" t="n"/>
      <c r="G29" s="205" t="n"/>
      <c r="H29" s="205" t="n"/>
      <c r="I29" s="205" t="n"/>
      <c r="J29" s="204" t="n"/>
      <c r="K29" s="60" t="n"/>
      <c r="L29" s="205" t="n"/>
      <c r="M29" s="205" t="n"/>
      <c r="N29" s="204" t="n"/>
      <c r="O29" s="244" t="n"/>
      <c r="P29" s="232" t="n"/>
      <c r="Q29" s="248" t="n"/>
    </row>
    <row r="30" ht="26.25" customHeight="1" s="197">
      <c r="B30" s="226" t="n"/>
      <c r="C30" s="241" t="n"/>
      <c r="D30" s="242" t="n"/>
      <c r="E30" s="247" t="n"/>
      <c r="F30" s="205" t="n"/>
      <c r="G30" s="205" t="n"/>
      <c r="H30" s="205" t="n"/>
      <c r="I30" s="205" t="n"/>
      <c r="J30" s="204" t="n"/>
      <c r="K30" s="60" t="n"/>
      <c r="L30" s="205" t="n"/>
      <c r="M30" s="205" t="n"/>
      <c r="N30" s="204" t="n"/>
      <c r="O30" s="244" t="n"/>
      <c r="P30" s="232" t="n"/>
      <c r="Q30" s="248" t="n"/>
    </row>
    <row r="31" ht="26.25" customHeight="1" s="197">
      <c r="B31" s="226" t="n"/>
      <c r="C31" s="60" t="n"/>
      <c r="D31" s="204" t="n"/>
      <c r="E31" s="247" t="n"/>
      <c r="F31" s="205" t="n"/>
      <c r="G31" s="205" t="n"/>
      <c r="H31" s="205" t="n"/>
      <c r="I31" s="205" t="n"/>
      <c r="J31" s="204" t="n"/>
      <c r="K31" s="60" t="n"/>
      <c r="L31" s="205" t="n"/>
      <c r="M31" s="205" t="n"/>
      <c r="N31" s="204" t="n"/>
      <c r="O31" s="244" t="n"/>
      <c r="P31" s="232" t="n"/>
      <c r="Q31" s="248" t="n"/>
    </row>
    <row r="32" ht="26.25" customHeight="1" s="197" thickBot="1">
      <c r="B32" s="249" t="n"/>
      <c r="C32" s="250" t="n"/>
      <c r="D32" s="221" t="n"/>
      <c r="E32" s="251" t="n"/>
      <c r="F32" s="220" t="n"/>
      <c r="G32" s="220" t="n"/>
      <c r="H32" s="220" t="n"/>
      <c r="I32" s="220" t="n"/>
      <c r="J32" s="221" t="n"/>
      <c r="K32" s="250" t="n"/>
      <c r="L32" s="220" t="n"/>
      <c r="M32" s="220" t="n"/>
      <c r="N32" s="221" t="n"/>
      <c r="O32" s="252" t="n"/>
      <c r="P32" s="236" t="n"/>
      <c r="Q32" s="253" t="n"/>
    </row>
    <row r="33" ht="53.25" customHeight="1" s="197">
      <c r="B33" s="78" t="inlineStr">
        <is>
          <t>교육
실습
협력
학교
가산점</t>
        </is>
      </c>
      <c r="C33" s="239" t="inlineStr">
        <is>
          <t>1~3.수업 실적</t>
        </is>
      </c>
      <c r="D33" s="240" t="n"/>
      <c r="E33" s="254" t="n"/>
      <c r="F33" s="202" t="n"/>
      <c r="G33" s="202" t="n"/>
      <c r="H33" s="202" t="n"/>
      <c r="I33" s="202" t="n"/>
      <c r="J33" s="201" t="n"/>
      <c r="K33" s="66" t="n"/>
      <c r="L33" s="202" t="n"/>
      <c r="M33" s="202" t="n"/>
      <c r="N33" s="201" t="n"/>
      <c r="O33" s="244" t="n"/>
      <c r="P33" s="255">
        <f>IF(ISERR(SUM(O33:O36)),"",SUM(O33:O36))</f>
        <v/>
      </c>
      <c r="Q33" s="248" t="n"/>
    </row>
    <row r="34" ht="26.25" customHeight="1" s="197">
      <c r="B34" s="226" t="n"/>
      <c r="C34" s="103" t="inlineStr">
        <is>
          <t>4. 연구 실적</t>
        </is>
      </c>
      <c r="D34" s="203" t="n"/>
      <c r="E34" s="247" t="n"/>
      <c r="F34" s="205" t="n"/>
      <c r="G34" s="205" t="n"/>
      <c r="H34" s="205" t="n"/>
      <c r="I34" s="205" t="n"/>
      <c r="J34" s="204" t="n"/>
      <c r="K34" s="60" t="n"/>
      <c r="L34" s="205" t="n"/>
      <c r="M34" s="205" t="n"/>
      <c r="N34" s="204" t="n"/>
      <c r="O34" s="244" t="n"/>
      <c r="P34" s="232" t="n"/>
      <c r="Q34" s="248" t="n"/>
    </row>
    <row r="35" ht="30" customHeight="1" s="197">
      <c r="B35" s="226" t="n"/>
      <c r="C35" s="256" t="inlineStr">
        <is>
          <t>5. 미래교육 실적</t>
        </is>
      </c>
      <c r="D35" s="233" t="n"/>
      <c r="E35" s="257" t="n"/>
      <c r="F35" s="258" t="n"/>
      <c r="G35" s="258" t="n"/>
      <c r="H35" s="258" t="n"/>
      <c r="I35" s="258" t="n"/>
      <c r="J35" s="259" t="n"/>
      <c r="K35" s="166" t="n"/>
      <c r="L35" s="258" t="n"/>
      <c r="M35" s="258" t="n"/>
      <c r="N35" s="259" t="n"/>
      <c r="O35" s="244" t="n"/>
      <c r="P35" s="232" t="n"/>
      <c r="Q35" s="248" t="n"/>
    </row>
    <row r="36" ht="30" customHeight="1" s="197" thickBot="1">
      <c r="B36" s="249" t="n"/>
      <c r="C36" s="260" t="inlineStr">
        <is>
          <t>6. 교육력 제고 실적</t>
        </is>
      </c>
      <c r="D36" s="210" t="n"/>
      <c r="E36" s="247" t="n"/>
      <c r="F36" s="205" t="n"/>
      <c r="G36" s="205" t="n"/>
      <c r="H36" s="205" t="n"/>
      <c r="I36" s="205" t="n"/>
      <c r="J36" s="204" t="n"/>
      <c r="K36" s="60" t="n"/>
      <c r="L36" s="205" t="n"/>
      <c r="M36" s="205" t="n"/>
      <c r="N36" s="204" t="n"/>
      <c r="O36" s="244" t="n"/>
      <c r="P36" s="236" t="n"/>
      <c r="Q36" s="253" t="n"/>
    </row>
    <row r="37" ht="25.25" customHeight="1" s="197">
      <c r="B37" s="261" t="inlineStr">
        <is>
          <t>학교 확인</t>
        </is>
      </c>
      <c r="C37" s="262" t="n"/>
      <c r="D37" s="262" t="n"/>
      <c r="E37" s="144" t="inlineStr">
        <is>
          <t>본인</t>
        </is>
      </c>
      <c r="F37" s="225" t="n"/>
      <c r="G37" s="263" t="inlineStr">
        <is>
          <t>교감</t>
        </is>
      </c>
      <c r="H37" s="200" t="n"/>
      <c r="I37" s="157" t="inlineStr">
        <is>
          <t>교장</t>
        </is>
      </c>
      <c r="J37" s="262" t="n"/>
      <c r="K37" s="264" t="n"/>
      <c r="L37" s="262" t="n"/>
      <c r="M37" s="262" t="n"/>
      <c r="N37" s="262" t="n"/>
      <c r="O37" s="262" t="n"/>
      <c r="P37" s="262" t="n"/>
      <c r="Q37" s="265" t="n"/>
    </row>
    <row r="38" ht="60" customHeight="1" s="197" thickBot="1">
      <c r="B38" s="266" t="n"/>
      <c r="C38" s="199" t="n"/>
      <c r="D38" s="199" t="n"/>
      <c r="E38" s="146" t="n"/>
      <c r="F38" s="223" t="n"/>
      <c r="G38" s="107" t="n"/>
      <c r="H38" s="224" t="n"/>
      <c r="I38" s="159" t="n"/>
      <c r="J38" s="223" t="n"/>
      <c r="K38" s="267" t="n"/>
      <c r="L38" s="268" t="n"/>
      <c r="M38" s="268" t="n"/>
      <c r="N38" s="268" t="n"/>
      <c r="O38" s="268" t="n"/>
      <c r="P38" s="268" t="n"/>
      <c r="Q38" s="253" t="n"/>
    </row>
    <row r="39" ht="14" customHeight="1" s="197" thickBot="1">
      <c r="C39" s="6" t="n"/>
    </row>
    <row r="40" hidden="1" ht="20.25" customHeight="1" s="197"/>
    <row r="41" hidden="1" ht="20.25" customHeight="1" s="197"/>
    <row r="42" hidden="1" ht="20.25" customHeight="1" s="197"/>
    <row r="43" hidden="1" ht="20.25" customHeight="1" s="197"/>
    <row r="44" hidden="1" ht="20.25" customHeight="1" s="197"/>
    <row r="45" hidden="1" ht="20.25" customHeight="1" s="197"/>
    <row r="46" hidden="1" ht="14" customHeight="1" s="197" thickBot="1"/>
    <row r="47" ht="26.25" customHeight="1" s="197" thickBot="1">
      <c r="B47" s="135" t="inlineStr">
        <is>
          <t>추가 입력 항목</t>
        </is>
      </c>
      <c r="C47" s="269" t="n"/>
      <c r="D47" s="269" t="n"/>
      <c r="E47" s="269" t="n"/>
      <c r="F47" s="269" t="n"/>
      <c r="G47" s="269" t="n"/>
      <c r="H47" s="269" t="n"/>
      <c r="I47" s="269" t="n"/>
      <c r="J47" s="269" t="n"/>
      <c r="K47" s="269" t="n"/>
      <c r="L47" s="269" t="n"/>
      <c r="M47" s="269" t="n"/>
      <c r="N47" s="270" t="n"/>
    </row>
    <row r="48" hidden="1" ht="26.25" customHeight="1" s="197" thickTop="1">
      <c r="B48" s="131" t="inlineStr">
        <is>
          <t>승진 희망 지역</t>
        </is>
      </c>
      <c r="C48" s="218" t="n"/>
      <c r="D48" s="218" t="n"/>
      <c r="E48" s="215" t="n"/>
      <c r="F48" s="138" t="n"/>
      <c r="G48" s="258" t="n"/>
      <c r="H48" s="258" t="n"/>
      <c r="I48" s="258" t="n"/>
      <c r="J48" s="258" t="n"/>
      <c r="K48" s="258" t="n"/>
      <c r="L48" s="258" t="n"/>
      <c r="M48" s="258" t="n"/>
      <c r="N48" s="259" t="n"/>
    </row>
    <row r="49" ht="26.25" customHeight="1" s="197" thickTop="1">
      <c r="B49" s="133" t="inlineStr">
        <is>
          <t>과원 전보 내신자 희망</t>
        </is>
      </c>
      <c r="C49" s="213" t="n"/>
      <c r="D49" s="213" t="n"/>
      <c r="E49" s="203" t="n"/>
      <c r="F49" s="271" t="n"/>
      <c r="G49" s="205" t="n"/>
      <c r="H49" s="205" t="n"/>
      <c r="I49" s="205" t="n"/>
      <c r="J49" s="205" t="n"/>
      <c r="K49" s="205" t="n"/>
      <c r="L49" s="205" t="n"/>
      <c r="M49" s="205" t="n"/>
      <c r="N49" s="209" t="n"/>
    </row>
    <row r="50" ht="26.25" customHeight="1" s="197">
      <c r="B50" s="133" t="inlineStr">
        <is>
          <t>전보우선 사유</t>
        </is>
      </c>
      <c r="C50" s="213" t="n"/>
      <c r="D50" s="213" t="n"/>
      <c r="E50" s="203" t="n"/>
      <c r="F50" s="129" t="n"/>
      <c r="G50" s="205" t="n"/>
      <c r="H50" s="205" t="n"/>
      <c r="I50" s="205" t="n"/>
      <c r="J50" s="205" t="n"/>
      <c r="K50" s="205" t="n"/>
      <c r="L50" s="205" t="n"/>
      <c r="M50" s="205" t="n"/>
      <c r="N50" s="204" t="n"/>
    </row>
    <row r="51" ht="26.25" customHeight="1" s="197">
      <c r="B51" s="133" t="inlineStr">
        <is>
          <t>전보유예 사유</t>
        </is>
      </c>
      <c r="C51" s="213" t="n"/>
      <c r="D51" s="213" t="n"/>
      <c r="E51" s="203" t="n"/>
      <c r="F51" s="129" t="n"/>
      <c r="G51" s="205" t="n"/>
      <c r="H51" s="205" t="n"/>
      <c r="I51" s="205" t="n"/>
      <c r="J51" s="205" t="n"/>
      <c r="K51" s="205" t="n"/>
      <c r="L51" s="205" t="n"/>
      <c r="M51" s="205" t="n"/>
      <c r="N51" s="204" t="n"/>
    </row>
    <row r="52" ht="26.25" customHeight="1" s="197">
      <c r="B52" s="133" t="inlineStr">
        <is>
          <t>부부 교직원 성명</t>
        </is>
      </c>
      <c r="C52" s="213" t="n"/>
      <c r="D52" s="213" t="n"/>
      <c r="E52" s="203" t="n"/>
      <c r="F52" s="129" t="n"/>
      <c r="G52" s="205" t="n"/>
      <c r="H52" s="205" t="n"/>
      <c r="I52" s="205" t="n"/>
      <c r="J52" s="205" t="n"/>
      <c r="K52" s="205" t="n"/>
      <c r="L52" s="205" t="n"/>
      <c r="M52" s="205" t="n"/>
      <c r="N52" s="204" t="n"/>
    </row>
    <row r="53" ht="26.25" customHeight="1" s="197">
      <c r="B53" s="133" t="inlineStr">
        <is>
          <t>부부 교직원 소속</t>
        </is>
      </c>
      <c r="C53" s="213" t="n"/>
      <c r="D53" s="213" t="n"/>
      <c r="E53" s="203" t="n"/>
      <c r="F53" s="129" t="n"/>
      <c r="G53" s="205" t="n"/>
      <c r="H53" s="205" t="n"/>
      <c r="I53" s="205" t="n"/>
      <c r="J53" s="205" t="n"/>
      <c r="K53" s="205" t="n"/>
      <c r="L53" s="205" t="n"/>
      <c r="M53" s="205" t="n"/>
      <c r="N53" s="204" t="n"/>
    </row>
    <row r="54" ht="26.25" customHeight="1" s="197">
      <c r="B54" s="133" t="inlineStr">
        <is>
          <t>직계존비속 교직원1 성명</t>
        </is>
      </c>
      <c r="C54" s="213" t="n"/>
      <c r="D54" s="213" t="n"/>
      <c r="E54" s="203" t="n"/>
      <c r="F54" s="129" t="n"/>
      <c r="G54" s="205" t="n"/>
      <c r="H54" s="205" t="n"/>
      <c r="I54" s="205" t="n"/>
      <c r="J54" s="205" t="n"/>
      <c r="K54" s="205" t="n"/>
      <c r="L54" s="205" t="n"/>
      <c r="M54" s="205" t="n"/>
      <c r="N54" s="204" t="n"/>
    </row>
    <row r="55" ht="26.25" customHeight="1" s="197">
      <c r="B55" s="133" t="inlineStr">
        <is>
          <t>직계존비속 교직원1 소속</t>
        </is>
      </c>
      <c r="C55" s="213" t="n"/>
      <c r="D55" s="213" t="n"/>
      <c r="E55" s="203" t="n"/>
      <c r="F55" s="129" t="n"/>
      <c r="G55" s="205" t="n"/>
      <c r="H55" s="205" t="n"/>
      <c r="I55" s="205" t="n"/>
      <c r="J55" s="205" t="n"/>
      <c r="K55" s="205" t="n"/>
      <c r="L55" s="205" t="n"/>
      <c r="M55" s="205" t="n"/>
      <c r="N55" s="204" t="n"/>
    </row>
    <row r="56" ht="26.25" customHeight="1" s="197">
      <c r="B56" s="133" t="inlineStr">
        <is>
          <t>직계존비속 교직원2 성명</t>
        </is>
      </c>
      <c r="C56" s="213" t="n"/>
      <c r="D56" s="213" t="n"/>
      <c r="E56" s="203" t="n"/>
      <c r="F56" s="129" t="n"/>
      <c r="G56" s="205" t="n"/>
      <c r="H56" s="205" t="n"/>
      <c r="I56" s="205" t="n"/>
      <c r="J56" s="205" t="n"/>
      <c r="K56" s="205" t="n"/>
      <c r="L56" s="205" t="n"/>
      <c r="M56" s="205" t="n"/>
      <c r="N56" s="204" t="n"/>
    </row>
    <row r="57" ht="26.25" customHeight="1" s="197" thickBot="1">
      <c r="B57" s="187" t="inlineStr">
        <is>
          <t>직계존비속 교직원2 소속</t>
        </is>
      </c>
      <c r="C57" s="223" t="n"/>
      <c r="D57" s="223" t="n"/>
      <c r="E57" s="224" t="n"/>
      <c r="F57" s="185" t="n"/>
      <c r="G57" s="220" t="n"/>
      <c r="H57" s="220" t="n"/>
      <c r="I57" s="220" t="n"/>
      <c r="J57" s="220" t="n"/>
      <c r="K57" s="220" t="n"/>
      <c r="L57" s="220" t="n"/>
      <c r="M57" s="220" t="n"/>
      <c r="N57" s="221" t="n"/>
    </row>
    <row r="58" ht="26.25" customHeight="1" s="197"/>
    <row r="59" ht="26.25" customHeight="1" s="197"/>
    <row r="60" ht="26.25" customHeight="1" s="197"/>
    <row r="61" ht="26.25" customHeight="1" s="197"/>
    <row r="62" ht="26.25" customHeight="1" s="197"/>
    <row r="98" ht="20.25" customHeight="1" s="197">
      <c r="AA98" s="8" t="inlineStr">
        <is>
          <t>전보구분</t>
        </is>
      </c>
      <c r="AB98" s="8" t="inlineStr">
        <is>
          <t>실습교</t>
        </is>
      </c>
      <c r="AC98" s="8" t="inlineStr">
        <is>
          <t>통합희망학교</t>
        </is>
      </c>
      <c r="AD98" s="8" t="inlineStr">
        <is>
          <t>희망학교</t>
        </is>
      </c>
      <c r="AE98" s="8" t="inlineStr">
        <is>
          <t>현임교</t>
        </is>
      </c>
      <c r="AF98" s="8" t="inlineStr">
        <is>
          <t>성별</t>
        </is>
      </c>
      <c r="AG98" s="8" t="inlineStr">
        <is>
          <t>여부</t>
        </is>
      </c>
      <c r="AH98" s="8" t="inlineStr">
        <is>
          <t>만기사유</t>
        </is>
      </c>
      <c r="AI98" s="8" t="inlineStr">
        <is>
          <t>전보우선 사유</t>
        </is>
      </c>
      <c r="AJ98" s="8" t="inlineStr">
        <is>
          <t>전보유예 사유</t>
        </is>
      </c>
      <c r="AK98" s="8" t="inlineStr">
        <is>
          <t>종별</t>
        </is>
      </c>
      <c r="AL98" s="8" t="inlineStr">
        <is>
          <t>과원 전보 희망</t>
        </is>
      </c>
    </row>
    <row r="99" ht="20.25" customHeight="1" s="197">
      <c r="AA99" s="8" t="inlineStr">
        <is>
          <t>희망</t>
        </is>
      </c>
      <c r="AB99" s="8" t="inlineStr">
        <is>
          <t>중부</t>
        </is>
      </c>
      <c r="AC99" s="8" t="inlineStr">
        <is>
          <t>이천</t>
        </is>
      </c>
      <c r="AD99" s="8" t="inlineStr">
        <is>
          <t>가남</t>
        </is>
      </c>
      <c r="AE99" s="8" t="inlineStr">
        <is>
          <t>가남</t>
        </is>
      </c>
      <c r="AF99" s="8" t="inlineStr">
        <is>
          <t>남</t>
        </is>
      </c>
      <c r="AG99" s="8" t="inlineStr">
        <is>
          <t>예</t>
        </is>
      </c>
      <c r="AH99" s="8" t="inlineStr">
        <is>
          <t>학교만기</t>
        </is>
      </c>
      <c r="AI99" s="8" t="inlineStr">
        <is>
          <t>교육시책 추진상 학교장의 요청</t>
        </is>
      </c>
      <c r="AJ99" s="8" t="inlineStr">
        <is>
          <t>연구학교 연구주무 교사</t>
        </is>
      </c>
      <c r="AK99" s="8" t="inlineStr">
        <is>
          <t>표창</t>
        </is>
      </c>
      <c r="AL99" s="85" t="inlineStr">
        <is>
          <t>과원이 해소될 경우, 희망학교 전보희망</t>
        </is>
      </c>
    </row>
    <row r="100" ht="20.25" customHeight="1" s="197">
      <c r="AA100" s="8" t="inlineStr">
        <is>
          <t>만기</t>
        </is>
      </c>
      <c r="AB100" s="8" t="n"/>
      <c r="AC100" s="8" t="inlineStr">
        <is>
          <t>원동</t>
        </is>
      </c>
      <c r="AD100" s="8" t="inlineStr">
        <is>
          <t>가양</t>
        </is>
      </c>
      <c r="AE100" s="8" t="inlineStr">
        <is>
          <t>가양</t>
        </is>
      </c>
      <c r="AF100" s="8" t="inlineStr">
        <is>
          <t>여</t>
        </is>
      </c>
      <c r="AG100" s="8" t="inlineStr">
        <is>
          <t>아니오</t>
        </is>
      </c>
      <c r="AH100" s="8" t="inlineStr">
        <is>
          <t>급지만기</t>
        </is>
      </c>
      <c r="AI100" s="8" t="inlineStr">
        <is>
          <t>정원 변경</t>
        </is>
      </c>
      <c r="AJ100" s="8" t="inlineStr">
        <is>
          <t>1년 이내 정년 퇴임</t>
        </is>
      </c>
      <c r="AK100" s="8" t="inlineStr">
        <is>
          <t>근무실적</t>
        </is>
      </c>
      <c r="AL100" s="85" t="inlineStr">
        <is>
          <t>과원이 해소될 경우, 현임교 계속근무희망</t>
        </is>
      </c>
    </row>
    <row r="101" ht="20.25" customHeight="1" s="197">
      <c r="AA101" s="8" t="inlineStr">
        <is>
          <t>우선</t>
        </is>
      </c>
      <c r="AB101" s="8" t="n"/>
      <c r="AC101" s="8" t="inlineStr">
        <is>
          <t>좌삼</t>
        </is>
      </c>
      <c r="AD101" s="8" t="inlineStr">
        <is>
          <t>가촌</t>
        </is>
      </c>
      <c r="AE101" s="8" t="inlineStr">
        <is>
          <t>가촌</t>
        </is>
      </c>
      <c r="AF101" s="8" t="n"/>
      <c r="AG101" s="8" t="n"/>
      <c r="AH101" s="8" t="inlineStr">
        <is>
          <t>벽지</t>
        </is>
      </c>
      <c r="AI101" s="8" t="inlineStr">
        <is>
          <t>특수교육지원센터에서 3년 이상 근무</t>
        </is>
      </c>
      <c r="AJ101" s="8" t="inlineStr">
        <is>
          <t>특수학급 담당교사</t>
        </is>
      </c>
      <c r="AK101" s="8" t="inlineStr">
        <is>
          <t>연구실적</t>
        </is>
      </c>
    </row>
    <row r="102" ht="20.25" customHeight="1" s="197">
      <c r="AA102" s="8" t="inlineStr">
        <is>
          <t>초빙</t>
        </is>
      </c>
      <c r="AB102" s="8" t="n"/>
      <c r="AC102" s="8" t="n"/>
      <c r="AD102" s="8" t="inlineStr">
        <is>
          <t>금송</t>
        </is>
      </c>
      <c r="AE102" s="8" t="inlineStr">
        <is>
          <t>금송</t>
        </is>
      </c>
      <c r="AF102" s="8" t="n"/>
      <c r="AG102" s="8" t="n"/>
      <c r="AH102" s="8" t="inlineStr">
        <is>
          <t>기타</t>
        </is>
      </c>
      <c r="AI102" s="8" t="inlineStr">
        <is>
          <t>교육지원청 Wee센터에서 4년 이상 근무</t>
        </is>
      </c>
      <c r="AJ102" s="8" t="inlineStr">
        <is>
          <t>특수영역 우수교사</t>
        </is>
      </c>
      <c r="AK102" s="8" t="inlineStr">
        <is>
          <t>우우조건</t>
        </is>
      </c>
    </row>
    <row r="103" ht="20.25" customHeight="1" s="197">
      <c r="AA103" s="8" t="inlineStr">
        <is>
          <t>비정기</t>
        </is>
      </c>
      <c r="AB103" s="8" t="n"/>
      <c r="AC103" s="8" t="n"/>
      <c r="AD103" s="8" t="inlineStr">
        <is>
          <t>금오</t>
        </is>
      </c>
      <c r="AE103" s="8" t="inlineStr">
        <is>
          <t>금오</t>
        </is>
      </c>
      <c r="AF103" s="8" t="n"/>
      <c r="AG103" s="8" t="n"/>
      <c r="AH103" s="8" t="n"/>
      <c r="AI103" s="8" t="inlineStr">
        <is>
          <t>공모교장 만료</t>
        </is>
      </c>
      <c r="AJ103" s="8" t="inlineStr">
        <is>
          <t>전국소년체육대회 금메달 획득 지도교사</t>
        </is>
      </c>
      <c r="AK103" s="8" t="inlineStr">
        <is>
          <t>전입가산점</t>
        </is>
      </c>
    </row>
    <row r="104" ht="20.25" customHeight="1" s="197">
      <c r="AA104" s="8" t="n"/>
      <c r="AB104" s="8" t="n"/>
      <c r="AC104" s="8" t="n"/>
      <c r="AD104" s="8" t="inlineStr">
        <is>
          <t>대운</t>
        </is>
      </c>
      <c r="AE104" s="8" t="inlineStr">
        <is>
          <t>대운</t>
        </is>
      </c>
      <c r="AF104" s="8" t="n"/>
      <c r="AG104" s="8" t="n"/>
      <c r="AH104" s="8" t="n"/>
      <c r="AI104" s="8" t="n"/>
      <c r="AJ104" s="8" t="inlineStr">
        <is>
          <t>행복(나눔)학교 핵심교사</t>
        </is>
      </c>
    </row>
    <row r="105" ht="20.25" customHeight="1" s="197">
      <c r="AA105" s="8" t="n"/>
      <c r="AB105" s="8" t="n"/>
      <c r="AC105" s="8" t="n"/>
      <c r="AD105" s="8" t="inlineStr">
        <is>
          <t>덕계</t>
        </is>
      </c>
      <c r="AE105" s="8" t="inlineStr">
        <is>
          <t>덕계</t>
        </is>
      </c>
      <c r="AF105" s="8" t="n"/>
      <c r="AG105" s="8" t="n"/>
      <c r="AH105" s="8" t="n"/>
      <c r="AI105" s="8" t="n"/>
      <c r="AJ105" s="8" t="inlineStr">
        <is>
          <t>다자녀 교원 중 미취학 아동이 있는 교사</t>
        </is>
      </c>
    </row>
    <row r="106" ht="20.25" customHeight="1" s="197">
      <c r="AA106" s="8" t="n"/>
      <c r="AB106" s="8" t="n"/>
      <c r="AC106" s="8" t="n"/>
      <c r="AD106" s="8" t="inlineStr">
        <is>
          <t>동면</t>
        </is>
      </c>
      <c r="AE106" s="8" t="inlineStr">
        <is>
          <t>동면</t>
        </is>
      </c>
      <c r="AF106" s="8" t="n"/>
      <c r="AG106" s="8" t="n"/>
      <c r="AH106" s="8" t="n"/>
      <c r="AI106" s="8" t="n"/>
      <c r="AJ106" s="8" t="n"/>
    </row>
    <row r="107" ht="20.25" customHeight="1" s="197">
      <c r="AA107" s="8" t="n"/>
      <c r="AB107" s="8" t="n"/>
      <c r="AC107" s="8" t="n"/>
      <c r="AD107" s="8" t="inlineStr">
        <is>
          <t>동산</t>
        </is>
      </c>
      <c r="AE107" s="8" t="inlineStr">
        <is>
          <t>동산</t>
        </is>
      </c>
      <c r="AF107" s="8" t="n"/>
      <c r="AG107" s="8" t="n"/>
      <c r="AH107" s="8" t="n"/>
      <c r="AI107" s="8" t="n"/>
      <c r="AJ107" s="8" t="n"/>
    </row>
    <row r="108" ht="20.25" customHeight="1" s="197">
      <c r="AA108" s="8" t="n"/>
      <c r="AB108" s="8" t="n"/>
      <c r="AC108" s="8" t="n"/>
      <c r="AD108" s="8" t="inlineStr">
        <is>
          <t>물금</t>
        </is>
      </c>
      <c r="AE108" s="8" t="inlineStr">
        <is>
          <t>물금</t>
        </is>
      </c>
      <c r="AF108" s="8" t="n"/>
      <c r="AG108" s="8" t="n"/>
      <c r="AH108" s="8" t="n"/>
      <c r="AI108" s="8" t="n"/>
      <c r="AJ108" s="8" t="n"/>
    </row>
    <row r="109" ht="20.25" customHeight="1" s="197">
      <c r="AA109" s="8" t="n"/>
      <c r="AB109" s="8" t="n"/>
      <c r="AC109" s="8" t="n"/>
      <c r="AD109" s="8" t="inlineStr">
        <is>
          <t>백동</t>
        </is>
      </c>
      <c r="AE109" s="8" t="inlineStr">
        <is>
          <t>백동</t>
        </is>
      </c>
      <c r="AF109" s="8" t="n"/>
      <c r="AG109" s="8" t="n"/>
      <c r="AH109" s="8" t="n"/>
      <c r="AI109" s="8" t="n"/>
      <c r="AJ109" s="8" t="n"/>
    </row>
    <row r="110" ht="20.25" customHeight="1" s="197">
      <c r="AA110" s="8" t="n"/>
      <c r="AB110" s="8" t="n"/>
      <c r="AC110" s="8" t="n"/>
      <c r="AD110" s="8" t="inlineStr">
        <is>
          <t>범어</t>
        </is>
      </c>
      <c r="AE110" s="8" t="inlineStr">
        <is>
          <t>범어</t>
        </is>
      </c>
      <c r="AF110" s="8" t="n"/>
      <c r="AG110" s="8" t="n"/>
      <c r="AH110" s="8" t="n"/>
      <c r="AI110" s="8" t="n"/>
      <c r="AJ110" s="8" t="n"/>
    </row>
    <row r="111" ht="20.25" customHeight="1" s="197">
      <c r="AA111" s="8" t="n"/>
      <c r="AB111" s="8" t="n"/>
      <c r="AC111" s="8" t="n"/>
      <c r="AD111" s="8" t="inlineStr">
        <is>
          <t>북정</t>
        </is>
      </c>
      <c r="AE111" s="8" t="inlineStr">
        <is>
          <t>북정</t>
        </is>
      </c>
      <c r="AF111" s="8" t="n"/>
      <c r="AG111" s="8" t="n"/>
      <c r="AH111" s="8" t="n"/>
      <c r="AI111" s="8" t="n"/>
      <c r="AJ111" s="8" t="n"/>
    </row>
    <row r="112" ht="20.25" customHeight="1" s="197">
      <c r="AA112" s="8" t="n"/>
      <c r="AB112" s="8" t="n"/>
      <c r="AC112" s="8" t="n"/>
      <c r="AD112" s="8" t="inlineStr">
        <is>
          <t>사송</t>
        </is>
      </c>
      <c r="AE112" s="8" t="inlineStr">
        <is>
          <t>사송</t>
        </is>
      </c>
      <c r="AF112" s="8" t="n"/>
      <c r="AG112" s="8" t="n"/>
      <c r="AH112" s="8" t="n"/>
      <c r="AI112" s="8" t="n"/>
      <c r="AJ112" s="8" t="n"/>
    </row>
    <row r="113" ht="20.25" customHeight="1" s="197">
      <c r="AA113" s="8" t="n"/>
      <c r="AB113" s="8" t="n"/>
      <c r="AC113" s="8" t="n"/>
      <c r="AD113" s="8" t="inlineStr">
        <is>
          <t>삼성</t>
        </is>
      </c>
      <c r="AE113" s="8" t="inlineStr">
        <is>
          <t>삼성</t>
        </is>
      </c>
      <c r="AF113" s="8" t="n"/>
      <c r="AG113" s="8" t="n"/>
      <c r="AH113" s="8" t="n"/>
      <c r="AI113" s="8" t="n"/>
      <c r="AJ113" s="8" t="n"/>
    </row>
    <row r="114" ht="20.25" customHeight="1" s="197">
      <c r="AA114" s="8" t="n"/>
      <c r="AB114" s="8" t="n"/>
      <c r="AC114" s="8" t="n"/>
      <c r="AD114" s="8" t="inlineStr">
        <is>
          <t>삽량</t>
        </is>
      </c>
      <c r="AE114" s="8" t="inlineStr">
        <is>
          <t>삽량</t>
        </is>
      </c>
      <c r="AF114" s="8" t="n"/>
      <c r="AG114" s="8" t="n"/>
      <c r="AH114" s="8" t="n"/>
      <c r="AI114" s="8" t="n"/>
      <c r="AJ114" s="8" t="n"/>
    </row>
    <row r="115" ht="20.25" customHeight="1" s="197">
      <c r="AA115" s="8" t="n"/>
      <c r="AB115" s="8" t="n"/>
      <c r="AC115" s="8" t="n"/>
      <c r="AD115" s="8" t="inlineStr">
        <is>
          <t>상북</t>
        </is>
      </c>
      <c r="AE115" s="8" t="inlineStr">
        <is>
          <t>상북</t>
        </is>
      </c>
      <c r="AF115" s="8" t="n"/>
      <c r="AG115" s="8" t="n"/>
      <c r="AH115" s="8" t="n"/>
      <c r="AI115" s="8" t="n"/>
      <c r="AJ115" s="8" t="n"/>
    </row>
    <row r="116" ht="20.25" customHeight="1" s="197">
      <c r="AA116" s="8" t="n"/>
      <c r="AB116" s="8" t="n"/>
      <c r="AC116" s="8" t="n"/>
      <c r="AD116" s="8" t="inlineStr">
        <is>
          <t>서남</t>
        </is>
      </c>
      <c r="AE116" s="8" t="inlineStr">
        <is>
          <t>서남</t>
        </is>
      </c>
      <c r="AF116" s="8" t="n"/>
      <c r="AG116" s="8" t="n"/>
      <c r="AH116" s="8" t="n"/>
      <c r="AI116" s="8" t="n"/>
      <c r="AJ116" s="8" t="n"/>
    </row>
    <row r="117" ht="20.25" customHeight="1" s="197">
      <c r="AA117" s="8" t="n"/>
      <c r="AB117" s="8" t="n"/>
      <c r="AC117" s="8" t="n"/>
      <c r="AD117" s="8" t="inlineStr">
        <is>
          <t>서창</t>
        </is>
      </c>
      <c r="AE117" s="8" t="inlineStr">
        <is>
          <t>서창</t>
        </is>
      </c>
      <c r="AF117" s="8" t="n"/>
      <c r="AG117" s="8" t="n"/>
      <c r="AH117" s="8" t="n"/>
      <c r="AI117" s="8" t="n"/>
      <c r="AJ117" s="8" t="n"/>
    </row>
    <row r="118" ht="20.25" customHeight="1" s="197">
      <c r="AA118" s="8" t="n"/>
      <c r="AB118" s="8" t="n"/>
      <c r="AC118" s="8" t="n"/>
      <c r="AD118" s="8" t="inlineStr">
        <is>
          <t>석산</t>
        </is>
      </c>
      <c r="AE118" s="8" t="inlineStr">
        <is>
          <t>석산</t>
        </is>
      </c>
      <c r="AF118" s="8" t="n"/>
      <c r="AG118" s="8" t="n"/>
      <c r="AH118" s="8" t="n"/>
      <c r="AI118" s="8" t="n"/>
      <c r="AJ118" s="8" t="n"/>
    </row>
    <row r="119" ht="20.25" customHeight="1" s="197">
      <c r="AA119" s="8" t="n"/>
      <c r="AB119" s="8" t="n"/>
      <c r="AC119" s="8" t="n"/>
      <c r="AD119" s="8" t="inlineStr">
        <is>
          <t>성산</t>
        </is>
      </c>
      <c r="AE119" s="8" t="inlineStr">
        <is>
          <t>성산</t>
        </is>
      </c>
      <c r="AF119" s="8" t="n"/>
      <c r="AG119" s="8" t="n"/>
      <c r="AH119" s="8" t="n"/>
      <c r="AI119" s="8" t="n"/>
      <c r="AJ119" s="8" t="n"/>
    </row>
    <row r="120" ht="20.25" customHeight="1" s="197">
      <c r="AA120" s="8" t="n"/>
      <c r="AB120" s="8" t="n"/>
      <c r="AC120" s="8" t="n"/>
      <c r="AD120" s="8" t="inlineStr">
        <is>
          <t>소토</t>
        </is>
      </c>
      <c r="AE120" s="8" t="inlineStr">
        <is>
          <t>소토</t>
        </is>
      </c>
      <c r="AF120" s="8" t="n"/>
      <c r="AG120" s="8" t="n"/>
      <c r="AH120" s="8" t="n"/>
      <c r="AI120" s="8" t="n"/>
      <c r="AJ120" s="8" t="n"/>
    </row>
    <row r="121" ht="20.25" customHeight="1" s="197">
      <c r="AA121" s="8" t="n"/>
      <c r="AB121" s="8" t="n"/>
      <c r="AC121" s="8" t="n"/>
      <c r="AD121" s="8" t="inlineStr">
        <is>
          <t>신기</t>
        </is>
      </c>
      <c r="AE121" s="8" t="inlineStr">
        <is>
          <t>신기</t>
        </is>
      </c>
      <c r="AF121" s="8" t="n"/>
      <c r="AG121" s="8" t="n"/>
      <c r="AH121" s="8" t="n"/>
      <c r="AI121" s="8" t="n"/>
      <c r="AJ121" s="8" t="n"/>
    </row>
    <row r="122" ht="20.25" customHeight="1" s="197">
      <c r="AA122" s="8" t="n"/>
      <c r="AB122" s="8" t="n"/>
      <c r="AC122" s="8" t="n"/>
      <c r="AD122" s="8" t="inlineStr">
        <is>
          <t>신명</t>
        </is>
      </c>
      <c r="AE122" s="8" t="inlineStr">
        <is>
          <t>신명</t>
        </is>
      </c>
      <c r="AF122" s="8" t="n"/>
      <c r="AG122" s="8" t="n"/>
      <c r="AH122" s="8" t="n"/>
      <c r="AI122" s="8" t="n"/>
      <c r="AJ122" s="8" t="n"/>
    </row>
    <row r="123" ht="20.25" customHeight="1" s="197">
      <c r="AA123" s="8" t="n"/>
      <c r="AB123" s="8" t="n"/>
      <c r="AC123" s="8" t="n"/>
      <c r="AD123" s="8" t="inlineStr">
        <is>
          <t>신양</t>
        </is>
      </c>
      <c r="AE123" s="8" t="inlineStr">
        <is>
          <t>신양</t>
        </is>
      </c>
      <c r="AF123" s="8" t="n"/>
      <c r="AG123" s="8" t="n"/>
      <c r="AH123" s="8" t="n"/>
      <c r="AI123" s="8" t="n"/>
      <c r="AJ123" s="8" t="n"/>
    </row>
    <row r="124" ht="20.25" customHeight="1" s="197">
      <c r="AA124" s="8" t="n"/>
      <c r="AB124" s="8" t="n"/>
      <c r="AC124" s="8" t="n"/>
      <c r="AD124" s="8" t="inlineStr">
        <is>
          <t>신주</t>
        </is>
      </c>
      <c r="AE124" s="8" t="inlineStr">
        <is>
          <t>신주</t>
        </is>
      </c>
      <c r="AF124" s="8" t="n"/>
      <c r="AG124" s="8" t="n"/>
      <c r="AH124" s="8" t="n"/>
      <c r="AI124" s="8" t="n"/>
      <c r="AJ124" s="8" t="n"/>
    </row>
    <row r="125" ht="20.25" customHeight="1" s="197">
      <c r="AA125" s="8" t="n"/>
      <c r="AB125" s="8" t="n"/>
      <c r="AC125" s="8" t="n"/>
      <c r="AD125" s="8" t="inlineStr">
        <is>
          <t>양산</t>
        </is>
      </c>
      <c r="AE125" s="8" t="inlineStr">
        <is>
          <t>양산</t>
        </is>
      </c>
      <c r="AF125" s="8" t="n"/>
      <c r="AG125" s="8" t="n"/>
      <c r="AH125" s="8" t="n"/>
      <c r="AI125" s="8" t="n"/>
      <c r="AJ125" s="8" t="n"/>
    </row>
    <row r="126" ht="20.25" customHeight="1" s="197">
      <c r="AA126" s="8" t="n"/>
      <c r="AB126" s="8" t="n"/>
      <c r="AC126" s="8" t="n"/>
      <c r="AD126" s="8" t="inlineStr">
        <is>
          <t>양주</t>
        </is>
      </c>
      <c r="AE126" s="8" t="inlineStr">
        <is>
          <t>양주</t>
        </is>
      </c>
      <c r="AF126" s="8" t="n"/>
      <c r="AG126" s="8" t="n"/>
      <c r="AH126" s="8" t="n"/>
      <c r="AI126" s="8" t="n"/>
      <c r="AJ126" s="8" t="n"/>
    </row>
    <row r="127" ht="20.25" customHeight="1" s="197">
      <c r="AA127" s="8" t="n"/>
      <c r="AB127" s="8" t="n"/>
      <c r="AC127" s="8" t="n"/>
      <c r="AD127" s="8" t="inlineStr">
        <is>
          <t>어곡</t>
        </is>
      </c>
      <c r="AE127" s="8" t="inlineStr">
        <is>
          <t>어곡</t>
        </is>
      </c>
      <c r="AF127" s="8" t="n"/>
      <c r="AG127" s="8" t="n"/>
      <c r="AH127" s="8" t="n"/>
      <c r="AI127" s="8" t="n"/>
      <c r="AJ127" s="8" t="n"/>
    </row>
    <row r="128" ht="20.25" customHeight="1" s="197">
      <c r="AA128" s="8" t="n"/>
      <c r="AB128" s="8" t="n"/>
      <c r="AC128" s="8" t="n"/>
      <c r="AD128" s="8" t="inlineStr">
        <is>
          <t>영천</t>
        </is>
      </c>
      <c r="AE128" s="8" t="inlineStr">
        <is>
          <t>영천</t>
        </is>
      </c>
      <c r="AF128" s="8" t="n"/>
      <c r="AG128" s="8" t="n"/>
      <c r="AH128" s="8" t="n"/>
      <c r="AI128" s="8" t="n"/>
      <c r="AJ128" s="8" t="n"/>
    </row>
    <row r="129" ht="20.25" customHeight="1" s="197">
      <c r="AA129" s="8" t="n"/>
      <c r="AB129" s="8" t="n"/>
      <c r="AC129" s="8" t="n"/>
      <c r="AD129" s="8" t="inlineStr">
        <is>
          <t>오봉</t>
        </is>
      </c>
      <c r="AE129" s="8" t="inlineStr">
        <is>
          <t>오봉</t>
        </is>
      </c>
      <c r="AF129" s="8" t="n"/>
      <c r="AG129" s="8" t="n"/>
      <c r="AH129" s="8" t="n"/>
      <c r="AI129" s="8" t="n"/>
      <c r="AJ129" s="8" t="n"/>
    </row>
    <row r="130" ht="20.25" customHeight="1" s="197">
      <c r="AA130" s="8" t="n"/>
      <c r="AB130" s="8" t="n"/>
      <c r="AC130" s="8" t="n"/>
      <c r="AD130" s="8" t="inlineStr">
        <is>
          <t>용연</t>
        </is>
      </c>
      <c r="AE130" s="8" t="inlineStr">
        <is>
          <t>용연</t>
        </is>
      </c>
      <c r="AF130" s="8" t="n"/>
      <c r="AG130" s="8" t="n"/>
      <c r="AH130" s="8" t="n"/>
      <c r="AI130" s="8" t="n"/>
      <c r="AJ130" s="8" t="n"/>
    </row>
    <row r="131" ht="20.25" customHeight="1" s="197">
      <c r="AA131" s="8" t="n"/>
      <c r="AB131" s="8" t="n"/>
      <c r="AC131" s="8" t="n"/>
      <c r="AD131" s="8" t="inlineStr">
        <is>
          <t>웅상</t>
        </is>
      </c>
      <c r="AE131" s="8" t="inlineStr">
        <is>
          <t>웅상</t>
        </is>
      </c>
      <c r="AF131" s="8" t="n"/>
      <c r="AG131" s="8" t="n"/>
      <c r="AH131" s="8" t="n"/>
      <c r="AI131" s="8" t="n"/>
      <c r="AJ131" s="8" t="n"/>
    </row>
    <row r="132" ht="20.25" customHeight="1" s="197">
      <c r="AA132" s="8" t="n"/>
      <c r="AB132" s="8" t="n"/>
      <c r="AC132" s="8" t="n"/>
      <c r="AD132" s="8" t="inlineStr">
        <is>
          <t>중부</t>
        </is>
      </c>
      <c r="AE132" s="8" t="inlineStr">
        <is>
          <t>원동</t>
        </is>
      </c>
      <c r="AF132" s="8" t="n"/>
      <c r="AG132" s="8" t="n"/>
      <c r="AH132" s="8" t="n"/>
      <c r="AI132" s="8" t="n"/>
      <c r="AJ132" s="8" t="n"/>
    </row>
    <row r="133" ht="20.25" customHeight="1" s="197">
      <c r="AA133" s="8" t="n"/>
      <c r="AB133" s="8" t="n"/>
      <c r="AC133" s="8" t="n"/>
      <c r="AD133" s="8" t="inlineStr">
        <is>
          <t>증산</t>
        </is>
      </c>
      <c r="AE133" s="8" t="inlineStr">
        <is>
          <t>이천</t>
        </is>
      </c>
      <c r="AF133" s="8" t="n"/>
      <c r="AG133" s="8" t="n"/>
      <c r="AH133" s="8" t="n"/>
      <c r="AI133" s="8" t="n"/>
      <c r="AJ133" s="8" t="n"/>
    </row>
    <row r="134" ht="20.25" customHeight="1" s="197">
      <c r="AA134" s="8" t="n"/>
      <c r="AB134" s="8" t="n"/>
      <c r="AC134" s="8" t="n"/>
      <c r="AD134" s="8" t="inlineStr">
        <is>
          <t>천성</t>
        </is>
      </c>
      <c r="AE134" s="8" t="inlineStr">
        <is>
          <t>좌삼</t>
        </is>
      </c>
      <c r="AF134" s="8" t="n"/>
      <c r="AG134" s="8" t="n"/>
      <c r="AH134" s="8" t="n"/>
      <c r="AI134" s="8" t="n"/>
      <c r="AJ134" s="8" t="n"/>
    </row>
    <row r="135" ht="20.25" customHeight="1" s="197">
      <c r="AA135" s="8" t="n"/>
      <c r="AB135" s="8" t="n"/>
      <c r="AC135" s="8" t="n"/>
      <c r="AD135" s="8" t="inlineStr">
        <is>
          <t>평산</t>
        </is>
      </c>
      <c r="AE135" s="8" t="inlineStr">
        <is>
          <t>중부</t>
        </is>
      </c>
      <c r="AF135" s="8" t="n"/>
      <c r="AG135" s="8" t="n"/>
      <c r="AH135" s="8" t="n"/>
      <c r="AI135" s="8" t="n"/>
      <c r="AJ135" s="8" t="n"/>
    </row>
    <row r="136" ht="20.25" customHeight="1" s="197">
      <c r="AD136" s="8" t="inlineStr">
        <is>
          <t>하북</t>
        </is>
      </c>
      <c r="AE136" s="8" t="inlineStr">
        <is>
          <t>증산</t>
        </is>
      </c>
    </row>
    <row r="137" ht="20.25" customHeight="1" s="197">
      <c r="AD137" s="8" t="inlineStr">
        <is>
          <t>화제</t>
        </is>
      </c>
      <c r="AE137" s="8" t="inlineStr">
        <is>
          <t>천성</t>
        </is>
      </c>
    </row>
    <row r="138" ht="20.25" customHeight="1" s="197">
      <c r="AD138" s="8" t="inlineStr">
        <is>
          <t>황산</t>
        </is>
      </c>
      <c r="AE138" s="8" t="inlineStr">
        <is>
          <t>평산</t>
        </is>
      </c>
    </row>
    <row r="139" ht="20.25" customHeight="1" s="197">
      <c r="AD139" s="8" t="inlineStr">
        <is>
          <t>회야</t>
        </is>
      </c>
      <c r="AE139" s="8" t="inlineStr">
        <is>
          <t>하북</t>
        </is>
      </c>
    </row>
    <row r="140" ht="20.25" customHeight="1" s="197">
      <c r="AD140" s="8" t="inlineStr">
        <is>
          <t>통합</t>
        </is>
      </c>
      <c r="AE140" s="8" t="inlineStr">
        <is>
          <t>화제</t>
        </is>
      </c>
    </row>
    <row r="141" ht="20.25" customHeight="1" s="197">
      <c r="AD141" s="8" t="inlineStr">
        <is>
          <t>양산교육지원청</t>
        </is>
      </c>
      <c r="AE141" s="8" t="inlineStr">
        <is>
          <t>황산</t>
        </is>
      </c>
    </row>
    <row r="142" ht="20.25" customHeight="1" s="197">
      <c r="AD142" s="8" t="n"/>
      <c r="AE142" s="8" t="inlineStr">
        <is>
          <t>회야</t>
        </is>
      </c>
    </row>
    <row r="143" ht="20.25" customHeight="1" s="197">
      <c r="AD143" s="8" t="n"/>
      <c r="AE143" s="8" t="inlineStr">
        <is>
          <t>양산교육지원청</t>
        </is>
      </c>
    </row>
    <row r="144" ht="20.25" customHeight="1" s="197">
      <c r="AD144" s="8" t="n"/>
      <c r="AE144" s="8" t="n"/>
    </row>
    <row r="145" ht="20.25" customHeight="1" s="197">
      <c r="AD145" s="8" t="n"/>
      <c r="AE145" s="8" t="n"/>
    </row>
    <row r="146" ht="20.25" customHeight="1" s="197">
      <c r="AD146" s="8" t="n"/>
      <c r="AE146" s="8" t="n"/>
    </row>
    <row r="147" ht="20.25" customHeight="1" s="197">
      <c r="AD147" s="8" t="n"/>
      <c r="AE147" s="8" t="n"/>
    </row>
    <row r="148" ht="20.25" customHeight="1" s="197">
      <c r="AD148" s="8" t="n"/>
      <c r="AE148" s="8" t="n"/>
    </row>
    <row r="149" ht="20.25" customHeight="1" s="197">
      <c r="AD149" s="8" t="n"/>
      <c r="AE149" s="8" t="n"/>
    </row>
    <row r="150" ht="20.25" customHeight="1" s="197">
      <c r="AD150" s="8" t="n"/>
      <c r="AE150" s="8" t="n"/>
    </row>
    <row r="151" ht="20.25" customHeight="1" s="197">
      <c r="AD151" s="8" t="n"/>
      <c r="AE151" s="8" t="n"/>
    </row>
    <row r="152" ht="20.25" customHeight="1" s="197">
      <c r="AD152" s="8" t="n"/>
      <c r="AE152" s="8" t="n"/>
    </row>
    <row r="153" ht="20.25" customHeight="1" s="197">
      <c r="AD153" s="8" t="n"/>
      <c r="AE153" s="8" t="n"/>
    </row>
    <row r="154" ht="20.25" customHeight="1" s="197">
      <c r="AD154" s="8" t="n"/>
      <c r="AE154" s="8" t="n"/>
    </row>
    <row r="155" ht="20.25" customHeight="1" s="197">
      <c r="AE155" s="8" t="n"/>
    </row>
    <row r="156" ht="20.25" customHeight="1" s="197">
      <c r="AE156" s="8" t="n"/>
    </row>
    <row r="157" ht="20.25" customHeight="1" s="197">
      <c r="AE157" s="8" t="n"/>
    </row>
  </sheetData>
  <mergeCells count="158">
    <mergeCell ref="E19:J19"/>
    <mergeCell ref="E13:G13"/>
    <mergeCell ref="E28:J28"/>
    <mergeCell ref="E15:G15"/>
    <mergeCell ref="E30:J30"/>
    <mergeCell ref="D6:E6"/>
    <mergeCell ref="P6:Q6"/>
    <mergeCell ref="B11:B16"/>
    <mergeCell ref="F56:N56"/>
    <mergeCell ref="K24:N24"/>
    <mergeCell ref="K33:N33"/>
    <mergeCell ref="B47:N47"/>
    <mergeCell ref="B3:Q3"/>
    <mergeCell ref="E16:G16"/>
    <mergeCell ref="F52:N52"/>
    <mergeCell ref="M16:N16"/>
    <mergeCell ref="E32:J32"/>
    <mergeCell ref="H11:L11"/>
    <mergeCell ref="K10:M10"/>
    <mergeCell ref="D7:E7"/>
    <mergeCell ref="K26:N26"/>
    <mergeCell ref="H5:J5"/>
    <mergeCell ref="K35:N35"/>
    <mergeCell ref="C27:D27"/>
    <mergeCell ref="C36:D36"/>
    <mergeCell ref="F57:N57"/>
    <mergeCell ref="E9:G10"/>
    <mergeCell ref="C17:D17"/>
    <mergeCell ref="M8:N8"/>
    <mergeCell ref="F54:N54"/>
    <mergeCell ref="E24:J24"/>
    <mergeCell ref="B37:D38"/>
    <mergeCell ref="H12:L12"/>
    <mergeCell ref="K9:M9"/>
    <mergeCell ref="C19:D19"/>
    <mergeCell ref="C28:D28"/>
    <mergeCell ref="B49:E49"/>
    <mergeCell ref="C30:D30"/>
    <mergeCell ref="P10:Q10"/>
    <mergeCell ref="F6:G6"/>
    <mergeCell ref="B51:E51"/>
    <mergeCell ref="E34:J34"/>
    <mergeCell ref="B9:C10"/>
    <mergeCell ref="H7:J7"/>
    <mergeCell ref="P9:Q9"/>
    <mergeCell ref="E38:F38"/>
    <mergeCell ref="B50:E50"/>
    <mergeCell ref="G38:H38"/>
    <mergeCell ref="E36:J36"/>
    <mergeCell ref="F5:G5"/>
    <mergeCell ref="P33:Q36"/>
    <mergeCell ref="M13:N13"/>
    <mergeCell ref="F48:N48"/>
    <mergeCell ref="M7:N7"/>
    <mergeCell ref="J4:Q4"/>
    <mergeCell ref="D9:D10"/>
    <mergeCell ref="K21:N21"/>
    <mergeCell ref="E22:J22"/>
    <mergeCell ref="H16:L16"/>
    <mergeCell ref="Q12:Q16"/>
    <mergeCell ref="K32:N32"/>
    <mergeCell ref="E21:J21"/>
    <mergeCell ref="B6:C6"/>
    <mergeCell ref="B53:E53"/>
    <mergeCell ref="E23:J23"/>
    <mergeCell ref="K37:Q38"/>
    <mergeCell ref="C18:D18"/>
    <mergeCell ref="K6:L6"/>
    <mergeCell ref="K27:N27"/>
    <mergeCell ref="H6:J6"/>
    <mergeCell ref="C34:D34"/>
    <mergeCell ref="B7:C7"/>
    <mergeCell ref="K17:N17"/>
    <mergeCell ref="F50:N50"/>
    <mergeCell ref="K5:L5"/>
    <mergeCell ref="B55:E55"/>
    <mergeCell ref="M5:N5"/>
    <mergeCell ref="K19:N19"/>
    <mergeCell ref="F7:G7"/>
    <mergeCell ref="C20:D20"/>
    <mergeCell ref="K28:N28"/>
    <mergeCell ref="C29:D29"/>
    <mergeCell ref="E11:G11"/>
    <mergeCell ref="M11:N11"/>
    <mergeCell ref="E27:J27"/>
    <mergeCell ref="B54:E54"/>
    <mergeCell ref="K25:N25"/>
    <mergeCell ref="G37:H37"/>
    <mergeCell ref="I37:J37"/>
    <mergeCell ref="C22:D22"/>
    <mergeCell ref="K30:N30"/>
    <mergeCell ref="C31:D31"/>
    <mergeCell ref="P18:Q32"/>
    <mergeCell ref="F8:G8"/>
    <mergeCell ref="E25:J25"/>
    <mergeCell ref="B56:E56"/>
    <mergeCell ref="P17:Q17"/>
    <mergeCell ref="M15:N15"/>
    <mergeCell ref="C21:D21"/>
    <mergeCell ref="M12:N12"/>
    <mergeCell ref="K8:L8"/>
    <mergeCell ref="F49:N49"/>
    <mergeCell ref="B52:E52"/>
    <mergeCell ref="C12:D16"/>
    <mergeCell ref="K29:N29"/>
    <mergeCell ref="E18:J18"/>
    <mergeCell ref="N10:O10"/>
    <mergeCell ref="H8:J8"/>
    <mergeCell ref="E12:G12"/>
    <mergeCell ref="H13:L13"/>
    <mergeCell ref="C23:D23"/>
    <mergeCell ref="N9:O9"/>
    <mergeCell ref="K31:N31"/>
    <mergeCell ref="K7:L7"/>
    <mergeCell ref="B57:E57"/>
    <mergeCell ref="H10:J10"/>
    <mergeCell ref="C32:D32"/>
    <mergeCell ref="E14:G14"/>
    <mergeCell ref="B5:C5"/>
    <mergeCell ref="H15:L15"/>
    <mergeCell ref="D5:E5"/>
    <mergeCell ref="H9:J9"/>
    <mergeCell ref="P5:Q5"/>
    <mergeCell ref="E20:J20"/>
    <mergeCell ref="F55:N55"/>
    <mergeCell ref="E29:J29"/>
    <mergeCell ref="K23:N23"/>
    <mergeCell ref="C24:D24"/>
    <mergeCell ref="F51:N51"/>
    <mergeCell ref="C33:D33"/>
    <mergeCell ref="E31:J31"/>
    <mergeCell ref="C26:D26"/>
    <mergeCell ref="R4:S4"/>
    <mergeCell ref="C35:D35"/>
    <mergeCell ref="K18:N18"/>
    <mergeCell ref="C25:D25"/>
    <mergeCell ref="P8:Q8"/>
    <mergeCell ref="K34:N34"/>
    <mergeCell ref="E26:J26"/>
    <mergeCell ref="B8:C8"/>
    <mergeCell ref="K36:N36"/>
    <mergeCell ref="M6:N6"/>
    <mergeCell ref="P7:Q7"/>
    <mergeCell ref="C11:D11"/>
    <mergeCell ref="B48:E48"/>
    <mergeCell ref="K20:N20"/>
    <mergeCell ref="B33:B36"/>
    <mergeCell ref="F53:N53"/>
    <mergeCell ref="D8:E8"/>
    <mergeCell ref="E33:J33"/>
    <mergeCell ref="K22:N22"/>
    <mergeCell ref="I38:J38"/>
    <mergeCell ref="B17:B32"/>
    <mergeCell ref="M14:N14"/>
    <mergeCell ref="E17:J17"/>
    <mergeCell ref="E37:F37"/>
    <mergeCell ref="H14:L14"/>
    <mergeCell ref="E35:J35"/>
  </mergeCells>
  <dataValidations count="13">
    <dataValidation sqref="N10:O10" showDropDown="0" showInputMessage="1" showErrorMessage="1" allowBlank="1" errorTitle="입력 형식 오류" error="생년월일은 YYYY.MM.DD 형식으로 입력하여 주십시오." type="custom">
      <formula1>(IF(LEN(N10) = 10, 1, 0)) * (IF(MID(N10,5,1) = ".", 1,0)) * (IF(MID(N10,8,1) = ".", 1,0)) * (IF(NOT(ISERR(VALUE(LEFT(N10,2)))), 1, 0)) * (IF(NOT(ISERR(VALUE(MID(N10,4,2)))), 1, 0)) * (IF(NOT(ISERR(VALUE(RIGHT(N10,2)))), 1, 0)) = 1</formula1>
    </dataValidation>
    <dataValidation sqref="D5:E5" showDropDown="0" showInputMessage="1" showErrorMessage="1" allowBlank="1" type="list">
      <formula1>$AA$99:$AA$103</formula1>
    </dataValidation>
    <dataValidation sqref="F50:N50" showDropDown="0" showInputMessage="1" showErrorMessage="1" allowBlank="1" type="list">
      <formula1>$AI$99:$AI$103</formula1>
    </dataValidation>
    <dataValidation sqref="F51:N51" showDropDown="0" showInputMessage="1" showErrorMessage="1" allowBlank="1" type="list">
      <formula1>$AJ$99:$AJ$105</formula1>
    </dataValidation>
    <dataValidation sqref="C18:C32 D18:D30" showDropDown="0" showInputMessage="1" showErrorMessage="1" allowBlank="1" type="list">
      <formula1>$AK$99:$AK$102</formula1>
    </dataValidation>
    <dataValidation sqref="M7:N7" showDropDown="0" showInputMessage="1" showErrorMessage="1" allowBlank="1" type="list">
      <formula1>$AF$99:$AF$100</formula1>
    </dataValidation>
    <dataValidation sqref="P8" showDropDown="0" showInputMessage="1" showErrorMessage="1" allowBlank="1" type="list">
      <formula1>$AG$99:$AG$100</formula1>
    </dataValidation>
    <dataValidation sqref="P10:Q10" showDropDown="0" showInputMessage="1" showErrorMessage="1" allowBlank="1" errorTitle="입력 형식 오류" error="생년월일은 YYYY.MM.DD 형식으로 입력하여 주십시오."/>
    <dataValidation sqref="H5:J5 M5:N5 P5:Q5" showDropDown="0" showInputMessage="1" showErrorMessage="1" allowBlank="1" type="list">
      <formula1>$AD$99:$AD$141</formula1>
    </dataValidation>
    <dataValidation sqref="F49:N49" showDropDown="0" showInputMessage="1" showErrorMessage="1" allowBlank="1" type="list">
      <formula1>$AL$99:$AL$100</formula1>
    </dataValidation>
    <dataValidation sqref="D6:E6 H6:J6 M6:N6" showDropDown="0" showInputMessage="1" showErrorMessage="1" allowBlank="1" type="list">
      <formula1>$AC$99:$AC$101</formula1>
    </dataValidation>
    <dataValidation sqref="D7:E7" showDropDown="0" showInputMessage="1" showErrorMessage="1" allowBlank="1" type="list">
      <formula1>$AE$99:$AE$143</formula1>
    </dataValidation>
    <dataValidation sqref="B3:Q3" showDropDown="0" showInputMessage="1" showErrorMessage="1" allowBlank="1" type="list">
      <formula1>"전보 내신자 조사서(초등 교사), 전보 내신자 조사서(초등 특수교사),전보 내신자 조사서(초등 상담교사),전보 내신자 조사서(초등 사서교사),전보 내신자 조사서(초등 보건교사)"</formula1>
    </dataValidation>
  </dataValidations>
  <printOptions horizontalCentered="1"/>
  <pageMargins left="0.5905511811023623" right="0.5905511811023623" top="0.5905511811023623" bottom="0.4724409448818898" header="0" footer="0"/>
  <pageSetup orientation="portrait" paperSize="9" scale="72" horizontalDpi="1200" verticalDpi="1200"/>
</worksheet>
</file>

<file path=xl/worksheets/sheet2.xml><?xml version="1.0" encoding="utf-8"?>
<worksheet xmlns="http://schemas.openxmlformats.org/spreadsheetml/2006/main">
  <sheetPr>
    <outlinePr summaryBelow="1" summaryRight="1"/>
    <pageSetUpPr fitToPage="1"/>
  </sheetPr>
  <dimension ref="B1:F45"/>
  <sheetViews>
    <sheetView zoomScale="115" zoomScaleNormal="115" workbookViewId="0">
      <pane ySplit="3" topLeftCell="A36" activePane="bottomLeft" state="frozenSplit"/>
      <selection pane="bottomLeft" activeCell="D42" sqref="D42"/>
    </sheetView>
  </sheetViews>
  <sheetFormatPr baseColWidth="10" defaultColWidth="8.83203125" defaultRowHeight="17"/>
  <cols>
    <col width="2.33203125" customWidth="1" style="197" min="1" max="1"/>
    <col width="6.1640625" customWidth="1" style="9" min="2" max="2"/>
    <col width="18" customWidth="1" style="9" min="3" max="3"/>
    <col width="63.1640625" customWidth="1" style="10" min="4" max="4"/>
    <col width="30.6640625" customWidth="1" style="10" min="5" max="6"/>
  </cols>
  <sheetData>
    <row r="1" ht="34.5" customHeight="1" s="197">
      <c r="B1" s="189" t="inlineStr">
        <is>
          <t>2026학년도 관내 전보 내신 조사서 작성 방법</t>
        </is>
      </c>
    </row>
    <row r="2" ht="34.5" customHeight="1" s="197" thickBot="1">
      <c r="B2" s="190" t="inlineStr">
        <is>
          <t>※ 내신조사서 시트를 아래 내신조사서 작성방법을 참고하여 작성합니다.</t>
        </is>
      </c>
    </row>
    <row r="3" ht="30" customHeight="1" s="197" thickBot="1">
      <c r="B3" s="54" t="inlineStr">
        <is>
          <t>순</t>
        </is>
      </c>
      <c r="C3" s="26" t="inlineStr">
        <is>
          <t>항목</t>
        </is>
      </c>
      <c r="D3" s="27" t="inlineStr">
        <is>
          <t>작성방법</t>
        </is>
      </c>
      <c r="E3" s="27" t="inlineStr">
        <is>
          <t>올바른 작성 예</t>
        </is>
      </c>
      <c r="F3" s="28" t="inlineStr">
        <is>
          <t>잘못된 작성 예</t>
        </is>
      </c>
    </row>
    <row r="4" ht="55" customHeight="1" s="197" thickTop="1">
      <c r="B4" s="45" t="n">
        <v>0</v>
      </c>
      <c r="C4" s="46" t="inlineStr">
        <is>
          <t>내신조사서 제목</t>
        </is>
      </c>
      <c r="D4" s="51" t="inlineStr">
        <is>
          <t>전보 내신자 조사서(초등 교사), 전보 내신자 조사서(초등 특수교사), 전보 내신자 조사서(초등 상담교사), 전보 내신자 조사서(초등 사서교사), 전보 내신자 조사서(초등 보건교사) 중 하나 선택한다.</t>
        </is>
      </c>
      <c r="E4" s="46" t="n"/>
      <c r="F4" s="47" t="n"/>
    </row>
    <row r="5" ht="18" customHeight="1" s="197">
      <c r="B5" s="23" t="n">
        <v>1</v>
      </c>
      <c r="C5" s="29" t="inlineStr">
        <is>
          <t>기관장</t>
        </is>
      </c>
      <c r="D5" s="22" t="inlineStr">
        <is>
          <t>학교의 정식 기관장명은 현임교를 선택하면 자동으로 입력된다.</t>
        </is>
      </c>
      <c r="E5" s="22" t="n"/>
      <c r="F5" s="21" t="n"/>
    </row>
    <row r="6" ht="50" customHeight="1" s="197">
      <c r="B6" s="23" t="n">
        <v>2</v>
      </c>
      <c r="C6" s="30" t="inlineStr">
        <is>
          <t>전보구분</t>
        </is>
      </c>
      <c r="D6" s="19" t="inlineStr">
        <is>
          <t>희망, 만기, 우선, 초빙, 비정기 중에 하나를 선택한다.
전보 우선 대상자이면서 만기자인 경우 '우선'을 선택한다. 과원일 경우 '만기'를 선택한다.</t>
        </is>
      </c>
      <c r="E6" s="35" t="inlineStr">
        <is>
          <t>희망, 만기, 우선 등</t>
        </is>
      </c>
      <c r="F6" s="18" t="inlineStr">
        <is>
          <t>학교만기, 급지만기</t>
        </is>
      </c>
    </row>
    <row r="7" ht="30" customHeight="1" s="197">
      <c r="B7" s="23" t="n">
        <v>3</v>
      </c>
      <c r="C7" s="30" t="inlineStr">
        <is>
          <t>1희망</t>
        </is>
      </c>
      <c r="D7" s="196" t="inlineStr">
        <is>
          <t xml:space="preserve">전보 희망학교 또는 통합을 하나만 선택한다. 학교 또는 급지 만기인 경우, 전보 우선 대상자이면서 만기자인 경우 2희망, 3희망 학교를 하나씩 선택한다. 과원일 경우 1희망, 2희망, 3희망을 선택하고 추가 입력 항목에서 세부 내용을 선택한다. 1희망~3희망으로 전보 희망 학교를 입력할 때 같은 학교를 중복하여 입력하면 안되고 모두 달라야 한다. </t>
        </is>
      </c>
      <c r="E7" s="35" t="inlineStr">
        <is>
          <t>양산, 양주, 통합 등</t>
        </is>
      </c>
      <c r="F7" s="18" t="inlineStr">
        <is>
          <t>수기 입력 금함</t>
        </is>
      </c>
    </row>
    <row r="8" ht="30" customHeight="1" s="197">
      <c r="B8" s="23" t="n">
        <v>4</v>
      </c>
      <c r="C8" s="30" t="inlineStr">
        <is>
          <t>2희망</t>
        </is>
      </c>
      <c r="D8" s="272" t="n"/>
      <c r="E8" s="35" t="inlineStr">
        <is>
          <t>양산, 양주 등</t>
        </is>
      </c>
      <c r="F8" s="18" t="inlineStr">
        <is>
          <t>수기 입력 금함</t>
        </is>
      </c>
    </row>
    <row r="9" ht="30" customHeight="1" s="197">
      <c r="B9" s="23" t="n">
        <v>5</v>
      </c>
      <c r="C9" s="30" t="inlineStr">
        <is>
          <t>3희망</t>
        </is>
      </c>
      <c r="D9" s="216" t="n"/>
      <c r="E9" s="35" t="inlineStr">
        <is>
          <t>양산, 양주 등</t>
        </is>
      </c>
      <c r="F9" s="18" t="inlineStr">
        <is>
          <t>수기 입력 금함</t>
        </is>
      </c>
    </row>
    <row r="10" ht="36" customHeight="1" s="197">
      <c r="B10" s="23" t="n">
        <v>6</v>
      </c>
      <c r="C10" s="30" t="inlineStr">
        <is>
          <t>실습교 보정총점</t>
        </is>
      </c>
      <c r="D10" s="194" t="inlineStr">
        <is>
          <t>실습교 보정총점은 교육실습 협력학교에 전입을 희망하는 현임교 만기 교원만 자동 계산한다.</t>
        </is>
      </c>
      <c r="E10" s="35" t="inlineStr">
        <is>
          <t>실습교 보정총점: 경력점 + 현임교 가산점</t>
        </is>
      </c>
      <c r="F10" s="18" t="inlineStr">
        <is>
          <t>수기 입력 금함</t>
        </is>
      </c>
    </row>
    <row r="11" ht="87.75" customHeight="1" s="197">
      <c r="B11" s="23" t="n">
        <v>7</v>
      </c>
      <c r="C11" s="30" t="inlineStr">
        <is>
          <t>생활근거지</t>
        </is>
      </c>
      <c r="D11" s="19" t="inlineStr">
        <is>
          <t>행정구역상(행정동) 시, 동(읍,면)을 표기하되, 시, 동(읍,면) 글자는 제외한다. 시, 동(읍,면)이 외자일 경우, 동(면)을 붙여서 입력한다.
※ 양산시 행정동(7개) O: 중앙,양주,삼성,강서,서창,소주,평산,덕계
※ 양산시 법정동(20개) X: 남부,다방,명곡,북부,중부,남부,신기,북정,호계,산막,교동,유산,어곡,명동,삼호,용당,소주,주남,주진,매곡</t>
        </is>
      </c>
      <c r="E11" s="35" t="inlineStr">
        <is>
          <t>양산중앙, 부산화명, 양산동면, 부산구서, 양산서창, 울산언양, 양산물금 등</t>
        </is>
      </c>
      <c r="F11" s="18" t="inlineStr">
        <is>
          <t>양산중부, 부산북구, 양산석산, 부산금정, 양산명동, 울산울주, 양산범어 등</t>
        </is>
      </c>
    </row>
    <row r="12" ht="30" customHeight="1" s="197">
      <c r="B12" s="23" t="n">
        <v>8</v>
      </c>
      <c r="C12" s="30" t="inlineStr">
        <is>
          <t>통합 1희망</t>
        </is>
      </c>
      <c r="D12" s="195" t="inlineStr">
        <is>
          <t xml:space="preserve">1희망에 통합을 선택하지 않은 경우 반드시 공란으로 한다.
1희망을 통합을 선택한 경우 희망하는 통합학교 순으로 통합 1희망~ 통합 3희망을 입력한다.(2, 3희망에 공란으로 하면 1희망 학교만 원하는 것을 의미함.)
통합 1희망~통합 3희망으로 통합학교를 입력할 때 같은 학교를 중복하여 입력하면 안되고 모두 달라야 한다. </t>
        </is>
      </c>
      <c r="E12" s="35" t="inlineStr">
        <is>
          <t>이천</t>
        </is>
      </c>
      <c r="F12" s="18" t="n"/>
    </row>
    <row r="13" ht="30" customHeight="1" s="197">
      <c r="B13" s="23" t="n">
        <v>9</v>
      </c>
      <c r="C13" s="30" t="inlineStr">
        <is>
          <t>통합 2희망</t>
        </is>
      </c>
      <c r="D13" s="272" t="n"/>
      <c r="E13" s="35" t="inlineStr">
        <is>
          <t>이천, 원동, 좌삼</t>
        </is>
      </c>
      <c r="F13" s="18" t="n"/>
    </row>
    <row r="14" ht="30" customHeight="1" s="197">
      <c r="B14" s="23" t="n">
        <v>10</v>
      </c>
      <c r="C14" s="30" t="inlineStr">
        <is>
          <t>통합 3희망</t>
        </is>
      </c>
      <c r="D14" s="216" t="n"/>
      <c r="E14" s="35" t="inlineStr">
        <is>
          <t>이천, 좌삼, 원동</t>
        </is>
      </c>
      <c r="F14" s="18" t="n"/>
    </row>
    <row r="15" ht="18" customHeight="1" s="197">
      <c r="B15" s="23" t="n">
        <v>11</v>
      </c>
      <c r="C15" s="30" t="inlineStr">
        <is>
          <t>현임교</t>
        </is>
      </c>
      <c r="D15" s="19" t="inlineStr">
        <is>
          <t>현재 근무하고 있는 학교를 선택한다.</t>
        </is>
      </c>
      <c r="E15" s="35" t="inlineStr">
        <is>
          <t>양산, 양주 등</t>
        </is>
      </c>
      <c r="F15" s="18" t="inlineStr">
        <is>
          <t>양산초, 양주초 등</t>
        </is>
      </c>
    </row>
    <row r="16" ht="18" customHeight="1" s="197">
      <c r="B16" s="23" t="n">
        <v>12</v>
      </c>
      <c r="C16" s="30" t="inlineStr">
        <is>
          <t>성명</t>
        </is>
      </c>
      <c r="D16" s="19" t="inlineStr">
        <is>
          <t>빈칸 없이 이름을 입력한다.</t>
        </is>
      </c>
      <c r="E16" s="35" t="inlineStr">
        <is>
          <t>홍길동, 김용, 남궁빈</t>
        </is>
      </c>
      <c r="F16" s="18" t="inlineStr">
        <is>
          <t>홍 길동, 김 용, 남궁 빈</t>
        </is>
      </c>
    </row>
    <row r="17" ht="18" customHeight="1" s="197">
      <c r="B17" s="23" t="n">
        <v>13</v>
      </c>
      <c r="C17" s="30" t="inlineStr">
        <is>
          <t>성별</t>
        </is>
      </c>
      <c r="D17" s="19" t="inlineStr">
        <is>
          <t>남, 여 중에 선택한다.</t>
        </is>
      </c>
      <c r="E17" s="35" t="inlineStr">
        <is>
          <t>남, 여</t>
        </is>
      </c>
      <c r="F17" s="18" t="inlineStr">
        <is>
          <t>남자, 여자</t>
        </is>
      </c>
    </row>
    <row r="18" ht="50" customHeight="1" s="197">
      <c r="B18" s="23" t="n">
        <v>14</v>
      </c>
      <c r="C18" s="30" t="inlineStr">
        <is>
          <t>소지자격</t>
        </is>
      </c>
      <c r="D18" s="19" t="inlineStr">
        <is>
          <t>소지자격을 입력한다. 비교과 교사의 경우 해당 자격을 선택한다.</t>
        </is>
      </c>
      <c r="E18" s="35" t="inlineStr">
        <is>
          <t>초1정, 초2정, 초등특수1정, 초등특수2정, 보건1급, 보건2급, 사서1급, 사서2급, 상담1급, 상담2급</t>
        </is>
      </c>
      <c r="F18" s="18" t="n"/>
    </row>
    <row r="19" ht="35.25" customHeight="1" s="197">
      <c r="B19" s="23" t="n">
        <v>15</v>
      </c>
      <c r="C19" s="30" t="inlineStr">
        <is>
          <t>타시군내신</t>
        </is>
      </c>
      <c r="D19" s="19" t="inlineStr">
        <is>
          <t>타시군내신을 낸 경우 지역명 2자로 입력한다.
타시군내신을 안낸 경우 빈칸으로 둔다.</t>
        </is>
      </c>
      <c r="E19" s="35" t="inlineStr">
        <is>
          <t>창원, 마산, 진주, 통영 등</t>
        </is>
      </c>
      <c r="F19" s="18" t="inlineStr">
        <is>
          <t>창원시, 창원교육청, 창원교육지원청, 아니오 등</t>
        </is>
      </c>
    </row>
    <row r="20" ht="35.25" customHeight="1" s="197">
      <c r="B20" s="23" t="n">
        <v>16</v>
      </c>
      <c r="C20" s="30" t="inlineStr">
        <is>
          <t>타시도내신</t>
        </is>
      </c>
      <c r="D20" s="19" t="inlineStr">
        <is>
          <t>타시도내신을 낸 경우 지역명 2자로 입력한다.
타시도내신을 안낸 경우 빈칸으로 둔다.</t>
        </is>
      </c>
      <c r="E20" s="35" t="inlineStr">
        <is>
          <t>서울, 부산, 경기, 경북 등</t>
        </is>
      </c>
      <c r="F20" s="18" t="inlineStr">
        <is>
          <t>서울시, 부산광역시, 경기도, 경상북도, 아니오 등</t>
        </is>
      </c>
    </row>
    <row r="21" ht="17.75" customHeight="1" s="197">
      <c r="B21" s="23" t="n">
        <v>17</v>
      </c>
      <c r="C21" s="30" t="inlineStr">
        <is>
          <t>승진후보자</t>
        </is>
      </c>
      <c r="D21" s="19" t="inlineStr">
        <is>
          <t>예, 아니오 중 무조건 선택한다.</t>
        </is>
      </c>
      <c r="E21" s="35" t="inlineStr">
        <is>
          <t>예, 아니오</t>
        </is>
      </c>
      <c r="F21" s="18" t="inlineStr">
        <is>
          <t>둘 중 하나는 무조건 선택</t>
        </is>
      </c>
    </row>
    <row r="22" ht="17.75" customHeight="1" s="197">
      <c r="B22" s="23" t="n">
        <v>18</v>
      </c>
      <c r="C22" s="30" t="inlineStr">
        <is>
          <t>총점</t>
        </is>
      </c>
      <c r="D22" s="20" t="inlineStr">
        <is>
          <t xml:space="preserve">자동으로 계산되니 입력하지 않는다. </t>
        </is>
      </c>
      <c r="E22" s="35" t="n"/>
      <c r="F22" s="18" t="n"/>
    </row>
    <row r="23" ht="35.25" customHeight="1" s="197">
      <c r="B23" s="23" t="n">
        <v>19</v>
      </c>
      <c r="C23" s="31" t="inlineStr">
        <is>
          <t>현임교근무연수</t>
        </is>
      </c>
      <c r="D23" s="20" t="inlineStr">
        <is>
          <t>y.mm형식으로 년 1자리, 월 2자리 소수점으로 구분하여 입력한다.
☞ 휴직이나 파견기간은 제외</t>
        </is>
      </c>
      <c r="E23" s="35" t="inlineStr">
        <is>
          <t>4.00, 4.06, 5.00 등</t>
        </is>
      </c>
      <c r="F23" s="18" t="inlineStr">
        <is>
          <t>3.5, 4.6 등</t>
        </is>
      </c>
    </row>
    <row r="24" ht="18" customHeight="1" s="197">
      <c r="B24" s="23" t="n">
        <v>20</v>
      </c>
      <c r="C24" s="31" t="inlineStr">
        <is>
          <t>학교경력점</t>
        </is>
      </c>
      <c r="D24" s="20" t="inlineStr">
        <is>
          <t xml:space="preserve">자동으로 계산되니 입력하지 않는다. </t>
        </is>
      </c>
      <c r="E24" s="35" t="n"/>
      <c r="F24" s="18" t="n"/>
    </row>
    <row r="25" ht="35.25" customHeight="1" s="197">
      <c r="B25" s="23" t="n">
        <v>21</v>
      </c>
      <c r="C25" s="31" t="inlineStr">
        <is>
          <t>생년월일</t>
        </is>
      </c>
      <c r="D25" s="20" t="inlineStr">
        <is>
          <t>yyyy.mm.dd형식으로 소수점으로 구분하여 년 4자리, 월 2자리, 일 2자리를 입력한다. (dd 다음에 마침표 찍지 말것)</t>
        </is>
      </c>
      <c r="E25" s="35" t="inlineStr">
        <is>
          <t>1988.03.11
1975.10.06 등</t>
        </is>
      </c>
      <c r="F25" s="18" t="inlineStr">
        <is>
          <t>88.03.11
1975년10월6일 등</t>
        </is>
      </c>
    </row>
    <row r="26" ht="36" customHeight="1" s="197">
      <c r="B26" s="23" t="n">
        <v>22</v>
      </c>
      <c r="C26" s="31" t="inlineStr">
        <is>
          <t>비고</t>
        </is>
      </c>
      <c r="D26" s="20" t="inlineStr">
        <is>
          <t>전보시 주요참고 사항만 기재한다. 과원의 경우 과원의 순서를 입력한다.
별도정원, 전보유예, 명예퇴직 등 자료도 입력한다.</t>
        </is>
      </c>
      <c r="E26" s="35" t="inlineStr">
        <is>
          <t>과원1, 과원2, 별도정원, 
전보유예, 명예퇴직 등</t>
        </is>
      </c>
      <c r="F26" s="18" t="n"/>
    </row>
    <row r="27" ht="36" customHeight="1" s="197">
      <c r="B27" s="23" t="n">
        <v>23</v>
      </c>
      <c r="C27" s="31" t="inlineStr">
        <is>
          <t>경력사항 학교명</t>
        </is>
      </c>
      <c r="D27" s="20" t="inlineStr">
        <is>
          <t>초등학교를 제외한 학교명을 입력한다. 이전 학교가 타지역일 경우, 지역명을 붙이고 학교명을 입력한다.</t>
        </is>
      </c>
      <c r="E27" s="35" t="inlineStr">
        <is>
          <t>양산, 양주, 통영죽림, 거창거창, 부산온천 등</t>
        </is>
      </c>
      <c r="F27" s="18" t="inlineStr">
        <is>
          <t>양산초, 양산초등학교, 양산 중부 등</t>
        </is>
      </c>
    </row>
    <row r="28" ht="100.5" customHeight="1" s="197">
      <c r="B28" s="23" t="n">
        <v>24</v>
      </c>
      <c r="C28" s="31" t="inlineStr">
        <is>
          <t>경력사항 근무기간</t>
        </is>
      </c>
      <c r="D28" s="20" t="inlineStr">
        <is>
          <t>yyyy.mm.dd~yyyy.mm.dd형식으로 소수점으로 구분하여 년 4자리, 월 2자리, 일 2자리 를 입력하고 기간처음과 끝은 ' ~ '(O), '- '(X) 구분한다. (dd 다음에 마침표 찍지 말것)
휴직기간이 있으면 휴직기간 전후로 구분하여 입력하고 휴직기간만큼 소급하여 이전 근무경력을 포함하여 입력한다.
☞ 근무기간은 최근 근무기간부터 4년간 기재</t>
        </is>
      </c>
      <c r="E28" s="35" t="inlineStr">
        <is>
          <t>2021.03.01~2025.02.28
2017.03.01~2018.02.28</t>
        </is>
      </c>
      <c r="F28" s="18" t="inlineStr">
        <is>
          <t>2021.03.01.-2025.02.28.
2021.03.01.~2025.02.28.
21.03.01~25.02.28
21.3.1~22.2.28
2021년3월1일~2025년2월28일 등</t>
        </is>
      </c>
    </row>
    <row r="29" ht="36" customHeight="1" s="197">
      <c r="B29" s="23" t="n">
        <v>25</v>
      </c>
      <c r="C29" s="31" t="inlineStr">
        <is>
          <t>경력사항 급지(점수)</t>
        </is>
      </c>
      <c r="D29" s="19" t="inlineStr">
        <is>
          <t>급지와 해당급지의 점수를 입력한다.
☞ 2018.3.1 이전과 이후의 급지 점수 구분</t>
        </is>
      </c>
      <c r="E29" s="35" t="inlineStr">
        <is>
          <t>가(6), 나(7), 다(8), 라(9)
가(7.5), 나(8), 다(8.5), 라(9)</t>
        </is>
      </c>
      <c r="F29" s="18" t="inlineStr">
        <is>
          <t>가(7.5점), 나8점, 다8.5 등</t>
        </is>
      </c>
    </row>
    <row r="30" ht="36" customHeight="1" s="197">
      <c r="B30" s="23" t="n">
        <v>26</v>
      </c>
      <c r="C30" s="31" t="inlineStr">
        <is>
          <t>경력사항 근무연수</t>
        </is>
      </c>
      <c r="D30" s="19" t="inlineStr">
        <is>
          <t>해당 근무기간을 y.mm형식으로 년 1자리, 월 2자리 소수점으로 구분하여 입력한다.</t>
        </is>
      </c>
      <c r="E30" s="35" t="inlineStr">
        <is>
          <t>4.00, 2.03, 1.09 등</t>
        </is>
      </c>
      <c r="F30" s="18" t="inlineStr">
        <is>
          <t>2.3, 2년3월 등</t>
        </is>
      </c>
    </row>
    <row r="31" ht="18" customHeight="1" s="197">
      <c r="B31" s="23" t="n">
        <v>27</v>
      </c>
      <c r="C31" s="31" t="inlineStr">
        <is>
          <t>경력사항의 점수</t>
        </is>
      </c>
      <c r="D31" s="19" t="inlineStr">
        <is>
          <t>해당급지의 점수 및 경력점 조견표를 참고하여 해당 점수를 입력한다.</t>
        </is>
      </c>
      <c r="E31" s="35" t="inlineStr">
        <is>
          <t>36.00,  29.33 등</t>
        </is>
      </c>
      <c r="F31" s="18" t="n"/>
    </row>
    <row r="32" ht="50" customHeight="1" s="197">
      <c r="B32" s="23" t="n">
        <v>28</v>
      </c>
      <c r="C32" s="31" t="inlineStr">
        <is>
          <t>가산점 종별</t>
        </is>
      </c>
      <c r="D32" s="19" t="inlineStr">
        <is>
          <t>표창, 근무실적, 연구실적, 우우조건 중 하나를 선택한다.
가산점 자료는 각 종별로 표창, 근무실적, 연구실적, 우우조건 순으로 입력한다. (가산점 평정표 순)</t>
        </is>
      </c>
      <c r="E32" s="35" t="inlineStr">
        <is>
          <t>표창, 근무실적, 연구실적, 우우조건</t>
        </is>
      </c>
      <c r="F32" s="18" t="inlineStr">
        <is>
          <t>근무실적, 우우조건, 표창, 연구실적 순 등</t>
        </is>
      </c>
    </row>
    <row r="33" ht="100.5" customHeight="1" s="197">
      <c r="B33" s="23" t="n">
        <v>29</v>
      </c>
      <c r="C33" s="31" t="inlineStr">
        <is>
          <t>가산점 내용</t>
        </is>
      </c>
      <c r="D33" s="19" t="inlineStr">
        <is>
          <t>인사관리기준의 가산점 평정표를 참조하여 종별로 최근 4년이내 현임교에서 거양한 실적을 입력한다. 
같은 종별내에서는 번호순서대로 입력, 같은 내용은 최근실적부터 입력 (가산점 평정표 순)</t>
        </is>
      </c>
      <c r="E33" s="35" t="inlineStr">
        <is>
          <t>근무실적 1. 8. 10. 등
1. 도교육청지정 이상 연구학교, 8. 통합학급담임교사, 10. 부장교사 등 순으로
우우조건 2. 7. 등
2. 부모봉양, 7. 자녀가 2명인 교사 등 순으로</t>
        </is>
      </c>
      <c r="F33" s="18" t="inlineStr">
        <is>
          <t>근무실적 3번, 5번, 1번, 7번 등
근무실적 3. 5. 1. 7. 등</t>
        </is>
      </c>
    </row>
    <row r="34" ht="125.25" customHeight="1" s="197">
      <c r="B34" s="23" t="n">
        <v>30</v>
      </c>
      <c r="C34" s="31" t="inlineStr">
        <is>
          <t>가산점 기간,  연월일</t>
        </is>
      </c>
      <c r="D34" s="19" t="inlineStr">
        <is>
          <t>근무실적 등 가산점 해당 기간은 yyyy.mm.dd~yyyy.mm.dd형식으로 소수점으로 구분하여 년 4자리, 월 2자리, 일 2자리 를 입력하고 기간처음과 끝은 '~ '(O), '-'(X) 구분한다. (dd 다음에 마침표 찍지 말것)
표창 등 가산점 해당 연월일은  yyyy.mm.dd형식으로 소수점으로 구분하여 년 4자리, 월 2자리, 일 2자리 를 입력한다.
우우조건 1,2,3(국가유공자,부모봉양,장애인)은 부양기간 입력, 4(55세이상)는 생년월일 입력, 5,6,7(자녀)은 입력 불필요</t>
        </is>
      </c>
      <c r="E34" s="35" t="inlineStr">
        <is>
          <t xml:space="preserve">2023.03.01~2025.02.28
2021.08.29 등
</t>
        </is>
      </c>
      <c r="F34" s="18" t="inlineStr">
        <is>
          <t>2023.03.01.-2025.02.28.
2023.03.01.~2025.02.28.
23.03.01~25.02.28
21.3.1~22.2.28
2023년3월1일~2025년2월28일
2021.8.29, 2021년8월29일 등</t>
        </is>
      </c>
    </row>
    <row r="35" ht="50" customHeight="1" s="197">
      <c r="B35" s="23" t="n">
        <v>31</v>
      </c>
      <c r="C35" s="32" t="inlineStr">
        <is>
          <t>가산점 점수</t>
        </is>
      </c>
      <c r="D35" s="17" t="inlineStr">
        <is>
          <t>인사관리기준의 가산점 평정표를 참고하여 해당 점수를 입력한다.
근무실적의 경우 6개월마다 인정되는 점수를 확인하여 해당 기간의 점수를 계산한다. (소수점 마지막 다음에 마침표 찍지 말것)</t>
        </is>
      </c>
      <c r="E35" s="36" t="inlineStr">
        <is>
          <t>1.000, 0.750, 0.500, 0.300, 0.125 등</t>
        </is>
      </c>
      <c r="F35" s="16" t="n"/>
    </row>
    <row r="36" ht="183" customHeight="1" s="197">
      <c r="B36" s="23" t="n">
        <v>32</v>
      </c>
      <c r="C36" s="32" t="inlineStr">
        <is>
          <t>교육실습 협력학교 가산점</t>
        </is>
      </c>
      <c r="D36" s="19" t="inlineStr">
        <is>
          <t xml:space="preserve">인사관리기준의 제4장 제19조 2항(1~6호)을 참조하여 종별로 현직위에서 거양한 실적을 각 호별로 한 건씩 입력한다. 특히, 1~3.수업실적란은 쉼표(,)로 구분하여 해당 실적을 입력하고 점수를 기재한다.  단, 제11조 가산점 실적이 제19조 교육실습 협력학교 가산점과 중복될 경우, 인사관리기준 제19조 2항을 우선하되 제11조 조항의 가산점과 중복하여 사용할 수 없고, 만기자의 경우 다른 일반 학교로 전보할 시에는 제11조 조항에 따른다.
단, 현임교에서 거양한 연구실적이 가산점 평정표의 가산점과 교육실습 협력학교 가산점이 중복되고 만기자의 경우, 가산점란에 해당 내용과 점수를 기재하고, 교육실습 협력학교 가산점 중 연구실적 가산점은 해당 영역 만점(2점)에서 위의 가산점 영역 점수를 빼고 점수를 기재한다. </t>
        </is>
      </c>
      <c r="E36" s="36" t="n"/>
      <c r="F36" s="16" t="n"/>
    </row>
    <row r="37" ht="45" customHeight="1" s="197">
      <c r="B37" s="23" t="n">
        <v>33</v>
      </c>
      <c r="C37" s="33" t="inlineStr">
        <is>
          <t>&lt;추가 입력 항목&gt;
과원전보내신자사유</t>
        </is>
      </c>
      <c r="D37" s="53" t="inlineStr">
        <is>
          <t>과원내신자인 경우 반드시 '전보희망' 또는 '계속근무희망' 을 선택해야 한다.</t>
        </is>
      </c>
      <c r="E37" s="52" t="inlineStr">
        <is>
          <t>과원이 해소될 경우, 희망학교 전보희망
과원이 해소될 경우, 현임교 계속 근무 희망</t>
        </is>
      </c>
      <c r="F37" s="14" t="n"/>
    </row>
    <row r="38" ht="35.25" customHeight="1" s="197">
      <c r="B38" s="23" t="n">
        <v>34</v>
      </c>
      <c r="C38" s="33" t="inlineStr">
        <is>
          <t>&lt;추가 입력 항목&gt;
전보우선 사유</t>
        </is>
      </c>
      <c r="D38" s="15" t="inlineStr">
        <is>
          <t>전보 우선 대상자인 경우만 전보우선 사유를 선택한다.</t>
        </is>
      </c>
      <c r="E38" s="37" t="inlineStr">
        <is>
          <t>정원 변경</t>
        </is>
      </c>
      <c r="F38" s="14" t="n"/>
    </row>
    <row r="39" ht="35.25" customHeight="1" s="197">
      <c r="B39" s="23" t="n">
        <v>35</v>
      </c>
      <c r="C39" s="33" t="inlineStr">
        <is>
          <t>&lt;추가 입력 항목&gt;
전보유예 사유</t>
        </is>
      </c>
      <c r="D39" s="15" t="inlineStr">
        <is>
          <t>전보 유예 대상자인 경우만 전보유예 사유를 선택한다.</t>
        </is>
      </c>
      <c r="E39" s="37" t="inlineStr">
        <is>
          <t>연구학교 연구주무 교사, 1년 이내 정년 퇴임, 행복학교 주무 교사 등</t>
        </is>
      </c>
      <c r="F39" s="14" t="n"/>
    </row>
    <row r="40" ht="35.25" customHeight="1" s="197">
      <c r="B40" s="23" t="n">
        <v>36</v>
      </c>
      <c r="C40" s="33" t="inlineStr">
        <is>
          <t>&lt;추가 입력 항목&gt;
부부 교직원 성명</t>
        </is>
      </c>
      <c r="D40" s="15" t="inlineStr">
        <is>
          <t>배우자의 이름을 빈칸 없이 입력한다.</t>
        </is>
      </c>
      <c r="E40" s="37" t="inlineStr">
        <is>
          <t>홍길동, 김용, 남궁빈</t>
        </is>
      </c>
      <c r="F40" s="14" t="inlineStr">
        <is>
          <t>홍 길동, 김 용, 남궁 빈</t>
        </is>
      </c>
    </row>
    <row r="41" ht="35.25" customHeight="1" s="197">
      <c r="B41" s="23" t="n">
        <v>37</v>
      </c>
      <c r="C41" s="33" t="inlineStr">
        <is>
          <t>&lt;추가 입력 항목&gt;
부부 교직원 소속</t>
        </is>
      </c>
      <c r="D41" s="15" t="inlineStr">
        <is>
          <t>배우자가 근무하는 학교명을 초등학교를 제외하고 입력한다.</t>
        </is>
      </c>
      <c r="E41" s="37" t="inlineStr">
        <is>
          <t>석산, 신주 등</t>
        </is>
      </c>
      <c r="F41" s="14" t="inlineStr">
        <is>
          <t>신주초, 석산초등학교 등</t>
        </is>
      </c>
    </row>
    <row r="42" ht="50" customHeight="1" s="197">
      <c r="B42" s="23" t="n">
        <v>38</v>
      </c>
      <c r="C42" s="33" t="inlineStr">
        <is>
          <t>&lt;추가 입력 항목&gt;
직계존비속 교직원1 성명</t>
        </is>
      </c>
      <c r="D42" s="15" t="inlineStr">
        <is>
          <t>직계존비속 교직원의 이름을 빈칸 없이 입력한다.</t>
        </is>
      </c>
      <c r="E42" s="37" t="inlineStr">
        <is>
          <t>홍길동, 김용, 남궁빈</t>
        </is>
      </c>
      <c r="F42" s="14" t="inlineStr">
        <is>
          <t>홍 길동, 김 용, 남궁 빈</t>
        </is>
      </c>
    </row>
    <row r="43" ht="50" customHeight="1" s="197">
      <c r="B43" s="23" t="n">
        <v>39</v>
      </c>
      <c r="C43" s="33" t="inlineStr">
        <is>
          <t>&lt;추가 입력 항목&gt;
직계존비속 교직원1  소속</t>
        </is>
      </c>
      <c r="D43" s="15" t="inlineStr">
        <is>
          <t>직계존비속 교직원이 근무하는 학교명을 초등학교를 제외하고 입력한다.</t>
        </is>
      </c>
      <c r="E43" s="37" t="inlineStr">
        <is>
          <t>석산, 신주 등</t>
        </is>
      </c>
      <c r="F43" s="14" t="inlineStr">
        <is>
          <t>신주초, 석산초등학교 등</t>
        </is>
      </c>
    </row>
    <row r="44" ht="50" customHeight="1" s="197">
      <c r="B44" s="23" t="n">
        <v>40</v>
      </c>
      <c r="C44" s="33" t="inlineStr">
        <is>
          <t>&lt;추가 입력 항목&gt;
직계존비속 교직원2 성명</t>
        </is>
      </c>
      <c r="D44" s="15" t="inlineStr">
        <is>
          <t>직계존비속 교직원의 이름을 빈칸 없이 입력한다.</t>
        </is>
      </c>
      <c r="E44" s="37" t="inlineStr">
        <is>
          <t>홍길동, 김용, 남궁빈</t>
        </is>
      </c>
      <c r="F44" s="14" t="inlineStr">
        <is>
          <t>홍 길동, 김 용, 남궁 빈</t>
        </is>
      </c>
    </row>
    <row r="45" ht="50" customHeight="1" s="197" thickBot="1">
      <c r="B45" s="23" t="n">
        <v>41</v>
      </c>
      <c r="C45" s="34" t="inlineStr">
        <is>
          <t>&lt;추가 입력 항목&gt;
직계존비속 교직원2  소속</t>
        </is>
      </c>
      <c r="D45" s="13" t="inlineStr">
        <is>
          <t>직계존비속 교직원이 근무하는 학교명을 초등학교를 제외하고 입력한다.</t>
        </is>
      </c>
      <c r="E45" s="38" t="inlineStr">
        <is>
          <t>석산, 신주 등</t>
        </is>
      </c>
      <c r="F45" s="12" t="inlineStr">
        <is>
          <t>신주초, 석산초등학교 등</t>
        </is>
      </c>
    </row>
  </sheetData>
  <mergeCells count="4">
    <mergeCell ref="B2:F2"/>
    <mergeCell ref="D7:D9"/>
    <mergeCell ref="B1:F1"/>
    <mergeCell ref="D12:D14"/>
  </mergeCells>
  <pageMargins left="0.7" right="0.7" top="0.75" bottom="0.75" header="0.3" footer="0.3"/>
  <pageSetup orientation="portrait" paperSize="9" scale="59" fitToHeight="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교무실6</dc:creator>
  <dcterms:created xsi:type="dcterms:W3CDTF">2014-12-19T05:34:19Z</dcterms:created>
  <dcterms:modified xsi:type="dcterms:W3CDTF">2025-12-07T12:45:42Z</dcterms:modified>
  <cp:lastModifiedBy>윤희류</cp:lastModifiedBy>
  <cp:lastPrinted>2023-08-29T07:34:37Z</cp:lastPrinted>
</cp:coreProperties>
</file>